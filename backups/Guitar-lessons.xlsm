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Excel-Handler-Master\"/>
    </mc:Choice>
  </mc:AlternateContent>
  <xr:revisionPtr revIDLastSave="0" documentId="13_ncr:1_{6FE1FBC7-230E-41BD-BEEF-DABE6C0BA4A2}" xr6:coauthVersionLast="47" xr6:coauthVersionMax="47" xr10:uidLastSave="{00000000-0000-0000-0000-000000000000}"/>
  <bookViews>
    <workbookView xWindow="-108" yWindow="-108" windowWidth="30936" windowHeight="16776" xr2:uid="{161DB5EB-C21E-46AC-8FA1-345D72CF9D04}"/>
  </bookViews>
  <sheets>
    <sheet name="Lesson Schedule" sheetId="1" r:id="rId1"/>
    <sheet name="Inactive Student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2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P18" i="1" a="1"/>
  <c r="P18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P42" i="1" a="1"/>
  <c r="P42" i="1" s="1"/>
  <c r="P43" i="1" a="1"/>
  <c r="P43" i="1" s="1"/>
  <c r="P44" i="1" a="1"/>
  <c r="P44" i="1" s="1"/>
  <c r="P45" i="1" a="1"/>
  <c r="P45" i="1" s="1"/>
  <c r="P46" i="1" a="1"/>
  <c r="P46" i="1" s="1"/>
  <c r="P47" i="1" a="1"/>
  <c r="P47" i="1" s="1"/>
  <c r="P48" i="1" a="1"/>
  <c r="P48" i="1" s="1"/>
  <c r="P49" i="1" a="1"/>
  <c r="P49" i="1" s="1"/>
  <c r="P50" i="1" a="1"/>
  <c r="P50" i="1" s="1"/>
  <c r="P51" i="1" a="1"/>
  <c r="P51" i="1" s="1"/>
  <c r="P52" i="1" a="1"/>
  <c r="P52" i="1" s="1"/>
  <c r="P53" i="1" a="1"/>
  <c r="P53" i="1" s="1"/>
  <c r="P54" i="1" a="1"/>
  <c r="P54" i="1" s="1"/>
  <c r="P55" i="1" a="1"/>
  <c r="P55" i="1" s="1"/>
  <c r="P56" i="1" a="1"/>
  <c r="P56" i="1" s="1"/>
  <c r="P57" i="1" a="1"/>
  <c r="P57" i="1" s="1"/>
  <c r="P58" i="1" a="1"/>
  <c r="P58" i="1" s="1"/>
  <c r="P59" i="1" a="1"/>
  <c r="P59" i="1" s="1"/>
  <c r="P60" i="1" a="1"/>
  <c r="P60" i="1" s="1"/>
  <c r="P61" i="1" a="1"/>
  <c r="P61" i="1" s="1"/>
  <c r="P62" i="1" a="1"/>
  <c r="P62" i="1" s="1"/>
  <c r="P63" i="1" a="1"/>
  <c r="P63" i="1" s="1"/>
  <c r="P64" i="1" a="1"/>
  <c r="P64" i="1" s="1"/>
  <c r="P65" i="1" a="1"/>
  <c r="P65" i="1" s="1"/>
  <c r="P66" i="1" a="1"/>
  <c r="P66" i="1" s="1"/>
  <c r="P67" i="1" a="1"/>
  <c r="P67" i="1" s="1"/>
  <c r="P68" i="1" a="1"/>
  <c r="P68" i="1" s="1"/>
  <c r="P69" i="1" a="1"/>
  <c r="P69" i="1" s="1"/>
  <c r="P70" i="1" a="1"/>
  <c r="P70" i="1" s="1"/>
  <c r="P71" i="1" a="1"/>
  <c r="P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P78" i="1" a="1"/>
  <c r="P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P104" i="1" a="1"/>
  <c r="P104" i="1" s="1"/>
  <c r="P105" i="1" a="1"/>
  <c r="P105" i="1" s="1"/>
  <c r="P106" i="1" a="1"/>
  <c r="P106" i="1" s="1"/>
  <c r="P107" i="1" a="1"/>
  <c r="P107" i="1" s="1"/>
  <c r="P108" i="1" a="1"/>
  <c r="P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P119" i="1" a="1"/>
  <c r="P119" i="1" s="1"/>
  <c r="P120" i="1" a="1"/>
  <c r="P120" i="1" s="1"/>
  <c r="P121" i="1" a="1"/>
  <c r="P121" i="1" s="1"/>
  <c r="P122" i="1" a="1"/>
  <c r="P122" i="1" s="1"/>
  <c r="P123" i="1" a="1"/>
  <c r="P123" i="1" s="1"/>
  <c r="P124" i="1" a="1"/>
  <c r="P124" i="1" s="1"/>
  <c r="P125" i="1" a="1"/>
  <c r="P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P131" i="1" a="1"/>
  <c r="P131" i="1" s="1"/>
  <c r="P132" i="1" a="1"/>
  <c r="P132" i="1" s="1"/>
  <c r="P133" i="1" a="1"/>
  <c r="P133" i="1" s="1"/>
  <c r="P134" i="1" a="1"/>
  <c r="P134" i="1" s="1"/>
  <c r="P135" i="1" a="1"/>
  <c r="P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P148" i="1" a="1"/>
  <c r="P148" i="1" s="1"/>
  <c r="P149" i="1" a="1"/>
  <c r="P149" i="1" s="1"/>
  <c r="P150" i="1" a="1"/>
  <c r="P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P166" i="1" a="1"/>
  <c r="P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 s="1"/>
  <c r="P182" i="1" a="1"/>
  <c r="P182" i="1" s="1"/>
  <c r="P183" i="1" a="1"/>
  <c r="P183" i="1" s="1"/>
  <c r="P184" i="1" a="1"/>
  <c r="P184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 s="1"/>
  <c r="P194" i="1" a="1"/>
  <c r="P194" i="1" s="1"/>
  <c r="P195" i="1" a="1"/>
  <c r="P195" i="1" s="1"/>
  <c r="P196" i="1" a="1"/>
  <c r="P196" i="1" s="1"/>
  <c r="P197" i="1" a="1"/>
  <c r="P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P210" i="1" a="1"/>
  <c r="P210" i="1" s="1"/>
  <c r="P211" i="1" a="1"/>
  <c r="P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5" i="1" a="1"/>
  <c r="P225" i="1" s="1"/>
  <c r="P226" i="1" a="1"/>
  <c r="P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P236" i="1" a="1"/>
  <c r="P236" i="1" s="1"/>
  <c r="P237" i="1" a="1"/>
  <c r="P237" i="1" s="1"/>
  <c r="P238" i="1" a="1"/>
  <c r="P238" i="1" s="1"/>
  <c r="P239" i="1" a="1"/>
  <c r="P239" i="1" s="1"/>
  <c r="P240" i="1" a="1"/>
  <c r="P240" i="1" s="1"/>
  <c r="P241" i="1" a="1"/>
  <c r="P241" i="1" s="1"/>
  <c r="P242" i="1" a="1"/>
  <c r="P242" i="1" s="1"/>
  <c r="P243" i="1" a="1"/>
  <c r="P243" i="1" s="1"/>
  <c r="P244" i="1" a="1"/>
  <c r="P244" i="1" s="1"/>
  <c r="P245" i="1" a="1"/>
  <c r="P245" i="1" s="1"/>
  <c r="P246" i="1" a="1"/>
  <c r="P246" i="1" s="1"/>
  <c r="P247" i="1" a="1"/>
  <c r="P247" i="1" s="1"/>
  <c r="P248" i="1" a="1"/>
  <c r="P248" i="1" s="1"/>
  <c r="P249" i="1" a="1"/>
  <c r="P249" i="1" s="1"/>
  <c r="P250" i="1" a="1"/>
  <c r="P250" i="1" s="1"/>
  <c r="P251" i="1" a="1"/>
  <c r="P251" i="1" s="1"/>
  <c r="P252" i="1" a="1"/>
  <c r="P252" i="1" s="1"/>
  <c r="P253" i="1" a="1"/>
  <c r="P253" i="1" s="1"/>
  <c r="P254" i="1" a="1"/>
  <c r="P254" i="1" s="1"/>
  <c r="P255" i="1" a="1"/>
  <c r="P255" i="1" s="1"/>
  <c r="P256" i="1" a="1"/>
  <c r="P256" i="1" s="1"/>
  <c r="P257" i="1" a="1"/>
  <c r="P257" i="1" s="1"/>
  <c r="P258" i="1" a="1"/>
  <c r="P258" i="1" s="1"/>
  <c r="P259" i="1" a="1"/>
  <c r="P259" i="1" s="1"/>
  <c r="P260" i="1" a="1"/>
  <c r="P260" i="1" s="1"/>
  <c r="P261" i="1" a="1"/>
  <c r="P261" i="1" s="1"/>
  <c r="P262" i="1" a="1"/>
  <c r="P262" i="1" s="1"/>
  <c r="P263" i="1" a="1"/>
  <c r="P263" i="1" s="1"/>
  <c r="P264" i="1" a="1"/>
  <c r="P264" i="1" s="1"/>
  <c r="P265" i="1" a="1"/>
  <c r="P265" i="1" s="1"/>
  <c r="P266" i="1" a="1"/>
  <c r="P266" i="1" s="1"/>
  <c r="P267" i="1" a="1"/>
  <c r="P267" i="1" s="1"/>
  <c r="P268" i="1" a="1"/>
  <c r="P268" i="1" s="1"/>
  <c r="P269" i="1" a="1"/>
  <c r="P269" i="1" s="1"/>
  <c r="P270" i="1" a="1"/>
  <c r="P270" i="1" s="1"/>
  <c r="P271" i="1" a="1"/>
  <c r="P271" i="1" s="1"/>
  <c r="P272" i="1" a="1"/>
  <c r="P272" i="1" s="1"/>
  <c r="P273" i="1" a="1"/>
  <c r="P273" i="1" s="1"/>
  <c r="P274" i="1" a="1"/>
  <c r="P274" i="1" s="1"/>
  <c r="P275" i="1" a="1"/>
  <c r="P275" i="1" s="1"/>
  <c r="P276" i="1" a="1"/>
  <c r="P276" i="1" s="1"/>
  <c r="P277" i="1" a="1"/>
  <c r="P277" i="1" s="1"/>
  <c r="P278" i="1" a="1"/>
  <c r="P278" i="1" s="1"/>
  <c r="P279" i="1" a="1"/>
  <c r="P279" i="1" s="1"/>
  <c r="P280" i="1" a="1"/>
  <c r="P280" i="1" s="1"/>
  <c r="P281" i="1" a="1"/>
  <c r="P281" i="1" s="1"/>
  <c r="P282" i="1" a="1"/>
  <c r="P282" i="1" s="1"/>
  <c r="P283" i="1" a="1"/>
  <c r="P283" i="1" s="1"/>
  <c r="P284" i="1" a="1"/>
  <c r="P284" i="1" s="1"/>
  <c r="P285" i="1" a="1"/>
  <c r="P285" i="1" s="1"/>
  <c r="P286" i="1" a="1"/>
  <c r="P286" i="1" s="1"/>
  <c r="P287" i="1" a="1"/>
  <c r="P287" i="1" s="1"/>
  <c r="P288" i="1" a="1"/>
  <c r="P288" i="1" s="1"/>
  <c r="P289" i="1" a="1"/>
  <c r="P289" i="1" s="1"/>
  <c r="P290" i="1" a="1"/>
  <c r="P290" i="1" s="1"/>
  <c r="P291" i="1" a="1"/>
  <c r="P291" i="1" s="1"/>
  <c r="P292" i="1" a="1"/>
  <c r="P292" i="1" s="1"/>
  <c r="P293" i="1" a="1"/>
  <c r="P293" i="1" s="1"/>
  <c r="P294" i="1" a="1"/>
  <c r="P294" i="1" s="1"/>
  <c r="P295" i="1" a="1"/>
  <c r="P295" i="1" s="1"/>
  <c r="P296" i="1" a="1"/>
  <c r="P296" i="1" s="1"/>
  <c r="P297" i="1" a="1"/>
  <c r="P297" i="1" s="1"/>
  <c r="P298" i="1" a="1"/>
  <c r="P298" i="1" s="1"/>
  <c r="P299" i="1" a="1"/>
  <c r="P299" i="1" s="1"/>
  <c r="P300" i="1" a="1"/>
  <c r="P300" i="1" s="1"/>
  <c r="P301" i="1" a="1"/>
  <c r="P301" i="1" s="1"/>
  <c r="P302" i="1" a="1"/>
  <c r="P302" i="1" s="1"/>
  <c r="P303" i="1" a="1"/>
  <c r="P303" i="1" s="1"/>
  <c r="P304" i="1" a="1"/>
  <c r="P304" i="1" s="1"/>
  <c r="P305" i="1" a="1"/>
  <c r="P305" i="1" s="1"/>
  <c r="P306" i="1" a="1"/>
  <c r="P306" i="1" s="1"/>
  <c r="P307" i="1" a="1"/>
  <c r="P307" i="1" s="1"/>
  <c r="P308" i="1" a="1"/>
  <c r="P308" i="1" s="1"/>
  <c r="P309" i="1" a="1"/>
  <c r="P309" i="1" s="1"/>
  <c r="P310" i="1" a="1"/>
  <c r="P310" i="1" s="1"/>
  <c r="P311" i="1" a="1"/>
  <c r="P311" i="1" s="1"/>
  <c r="P312" i="1" a="1"/>
  <c r="P312" i="1" s="1"/>
  <c r="P313" i="1" a="1"/>
  <c r="P313" i="1" s="1"/>
  <c r="P314" i="1" a="1"/>
  <c r="P314" i="1" s="1"/>
  <c r="P315" i="1" a="1"/>
  <c r="P315" i="1" s="1"/>
  <c r="P316" i="1" a="1"/>
  <c r="P316" i="1" s="1"/>
  <c r="P317" i="1" a="1"/>
  <c r="P317" i="1" s="1"/>
  <c r="P318" i="1" a="1"/>
  <c r="P318" i="1" s="1"/>
  <c r="P319" i="1" a="1"/>
  <c r="P319" i="1" s="1"/>
  <c r="P320" i="1" a="1"/>
  <c r="P320" i="1" s="1"/>
  <c r="P321" i="1" a="1"/>
  <c r="P321" i="1" s="1"/>
  <c r="P322" i="1" a="1"/>
  <c r="P322" i="1" s="1"/>
  <c r="P323" i="1" a="1"/>
  <c r="P323" i="1" s="1"/>
  <c r="P324" i="1" a="1"/>
  <c r="P324" i="1" s="1"/>
  <c r="P325" i="1" a="1"/>
  <c r="P325" i="1" s="1"/>
  <c r="P326" i="1" a="1"/>
  <c r="P326" i="1" s="1"/>
  <c r="P327" i="1" a="1"/>
  <c r="P327" i="1" s="1"/>
  <c r="P328" i="1" a="1"/>
  <c r="P328" i="1" s="1"/>
  <c r="P329" i="1" a="1"/>
  <c r="P329" i="1" s="1"/>
  <c r="P330" i="1" a="1"/>
  <c r="P330" i="1" s="1"/>
  <c r="P331" i="1" a="1"/>
  <c r="P331" i="1" s="1"/>
  <c r="P332" i="1" a="1"/>
  <c r="P332" i="1" s="1"/>
  <c r="P333" i="1" a="1"/>
  <c r="P333" i="1" s="1"/>
  <c r="P334" i="1" a="1"/>
  <c r="P334" i="1" s="1"/>
  <c r="P335" i="1" a="1"/>
  <c r="P335" i="1" s="1"/>
  <c r="P336" i="1" a="1"/>
  <c r="P336" i="1" s="1"/>
  <c r="P337" i="1" a="1"/>
  <c r="P337" i="1" s="1"/>
  <c r="P338" i="1" a="1"/>
  <c r="P338" i="1" s="1"/>
  <c r="P339" i="1" a="1"/>
  <c r="P339" i="1" s="1"/>
  <c r="P340" i="1" a="1"/>
  <c r="P340" i="1" s="1"/>
  <c r="P341" i="1" a="1"/>
  <c r="P341" i="1" s="1"/>
  <c r="P342" i="1" a="1"/>
  <c r="P342" i="1" s="1"/>
  <c r="P343" i="1" a="1"/>
  <c r="P343" i="1" s="1"/>
  <c r="P344" i="1" a="1"/>
  <c r="P344" i="1" s="1"/>
  <c r="P345" i="1" a="1"/>
  <c r="P345" i="1" s="1"/>
  <c r="P346" i="1" a="1"/>
  <c r="P346" i="1" s="1"/>
  <c r="P347" i="1" a="1"/>
  <c r="P347" i="1" s="1"/>
  <c r="P348" i="1" a="1"/>
  <c r="P348" i="1" s="1"/>
  <c r="P349" i="1" a="1"/>
  <c r="P349" i="1" s="1"/>
  <c r="P350" i="1" a="1"/>
  <c r="P350" i="1" s="1"/>
  <c r="P351" i="1" a="1"/>
  <c r="P351" i="1" s="1"/>
  <c r="P352" i="1" a="1"/>
  <c r="P352" i="1" s="1"/>
  <c r="P353" i="1" a="1"/>
  <c r="P353" i="1" s="1"/>
  <c r="P354" i="1" a="1"/>
  <c r="P354" i="1" s="1"/>
  <c r="P355" i="1" a="1"/>
  <c r="P355" i="1" s="1"/>
  <c r="P356" i="1" a="1"/>
  <c r="P356" i="1" s="1"/>
  <c r="P357" i="1" a="1"/>
  <c r="P357" i="1" s="1"/>
  <c r="P358" i="1" a="1"/>
  <c r="P358" i="1" s="1"/>
  <c r="P359" i="1" a="1"/>
  <c r="P359" i="1" s="1"/>
  <c r="P360" i="1" a="1"/>
  <c r="P360" i="1" s="1"/>
  <c r="P361" i="1" a="1"/>
  <c r="P361" i="1" s="1"/>
  <c r="P362" i="1" a="1"/>
  <c r="P362" i="1" s="1"/>
  <c r="P363" i="1" a="1"/>
  <c r="P363" i="1" s="1"/>
  <c r="P364" i="1" a="1"/>
  <c r="P364" i="1" s="1"/>
  <c r="P365" i="1" a="1"/>
  <c r="P365" i="1" s="1"/>
  <c r="P366" i="1" a="1"/>
  <c r="P366" i="1" s="1"/>
  <c r="P367" i="1" a="1"/>
  <c r="P367" i="1" s="1"/>
  <c r="P368" i="1" a="1"/>
  <c r="P368" i="1" s="1"/>
  <c r="P369" i="1" a="1"/>
  <c r="P369" i="1" s="1"/>
  <c r="P370" i="1" a="1"/>
  <c r="P370" i="1" s="1"/>
  <c r="P371" i="1" a="1"/>
  <c r="P371" i="1" s="1"/>
  <c r="P372" i="1" a="1"/>
  <c r="P372" i="1" s="1"/>
  <c r="P373" i="1" a="1"/>
  <c r="P373" i="1" s="1"/>
  <c r="P374" i="1" a="1"/>
  <c r="P374" i="1" s="1"/>
  <c r="P375" i="1" a="1"/>
  <c r="P375" i="1" s="1"/>
  <c r="P376" i="1" a="1"/>
  <c r="P376" i="1" s="1"/>
  <c r="P377" i="1" a="1"/>
  <c r="P377" i="1" s="1"/>
  <c r="P378" i="1" a="1"/>
  <c r="P378" i="1" s="1"/>
  <c r="P379" i="1" a="1"/>
  <c r="P379" i="1" s="1"/>
  <c r="P380" i="1" a="1"/>
  <c r="P380" i="1" s="1"/>
  <c r="P381" i="1" a="1"/>
  <c r="P381" i="1" s="1"/>
  <c r="P382" i="1" a="1"/>
  <c r="P382" i="1" s="1"/>
  <c r="P383" i="1" a="1"/>
  <c r="P383" i="1" s="1"/>
  <c r="P384" i="1" a="1"/>
  <c r="P384" i="1" s="1"/>
  <c r="P385" i="1" a="1"/>
  <c r="P385" i="1" s="1"/>
  <c r="P386" i="1" a="1"/>
  <c r="P386" i="1" s="1"/>
  <c r="P387" i="1" a="1"/>
  <c r="P387" i="1" s="1"/>
  <c r="P388" i="1" a="1"/>
  <c r="P388" i="1" s="1"/>
  <c r="P389" i="1" a="1"/>
  <c r="P389" i="1" s="1"/>
  <c r="P390" i="1" a="1"/>
  <c r="P390" i="1" s="1"/>
  <c r="P391" i="1" a="1"/>
  <c r="P391" i="1" s="1"/>
  <c r="P392" i="1" a="1"/>
  <c r="P392" i="1" s="1"/>
  <c r="P393" i="1" a="1"/>
  <c r="P393" i="1" s="1"/>
  <c r="P394" i="1" a="1"/>
  <c r="P394" i="1" s="1"/>
  <c r="P395" i="1" a="1"/>
  <c r="P395" i="1" s="1"/>
  <c r="P396" i="1" a="1"/>
  <c r="P396" i="1" s="1"/>
  <c r="P397" i="1" a="1"/>
  <c r="P397" i="1" s="1"/>
  <c r="P398" i="1" a="1"/>
  <c r="P398" i="1" s="1"/>
  <c r="P399" i="1" a="1"/>
  <c r="P399" i="1" s="1"/>
  <c r="P400" i="1" a="1"/>
  <c r="P400" i="1" s="1"/>
  <c r="P401" i="1" a="1"/>
  <c r="P401" i="1" s="1"/>
  <c r="P402" i="1" a="1"/>
  <c r="P402" i="1" s="1"/>
  <c r="P403" i="1" a="1"/>
  <c r="P403" i="1" s="1"/>
  <c r="P404" i="1" a="1"/>
  <c r="P404" i="1" s="1"/>
  <c r="P405" i="1" a="1"/>
  <c r="P405" i="1" s="1"/>
  <c r="P406" i="1" a="1"/>
  <c r="P406" i="1" s="1"/>
  <c r="P407" i="1" a="1"/>
  <c r="P407" i="1" s="1"/>
  <c r="P408" i="1" a="1"/>
  <c r="P408" i="1" s="1"/>
  <c r="P409" i="1" a="1"/>
  <c r="P409" i="1" s="1"/>
  <c r="P410" i="1" a="1"/>
  <c r="P410" i="1" s="1"/>
  <c r="P411" i="1" a="1"/>
  <c r="P411" i="1" s="1"/>
  <c r="P412" i="1" a="1"/>
  <c r="P412" i="1" s="1"/>
  <c r="P413" i="1" a="1"/>
  <c r="P413" i="1" s="1"/>
  <c r="P414" i="1" a="1"/>
  <c r="P414" i="1" s="1"/>
  <c r="P415" i="1" a="1"/>
  <c r="P415" i="1" s="1"/>
  <c r="P416" i="1" a="1"/>
  <c r="P416" i="1" s="1"/>
  <c r="P417" i="1" a="1"/>
  <c r="P417" i="1" s="1"/>
  <c r="P418" i="1" a="1"/>
  <c r="P418" i="1" s="1"/>
  <c r="P419" i="1" a="1"/>
  <c r="P419" i="1" s="1"/>
  <c r="P420" i="1" a="1"/>
  <c r="P420" i="1" s="1"/>
  <c r="P421" i="1" a="1"/>
  <c r="P421" i="1" s="1"/>
  <c r="P422" i="1" a="1"/>
  <c r="P422" i="1" s="1"/>
  <c r="P423" i="1" a="1"/>
  <c r="P423" i="1" s="1"/>
  <c r="P424" i="1" a="1"/>
  <c r="P424" i="1" s="1"/>
  <c r="P425" i="1" a="1"/>
  <c r="P425" i="1" s="1"/>
  <c r="P426" i="1" a="1"/>
  <c r="P426" i="1" s="1"/>
  <c r="P427" i="1" a="1"/>
  <c r="P427" i="1" s="1"/>
  <c r="P428" i="1" a="1"/>
  <c r="P428" i="1" s="1"/>
  <c r="P429" i="1" a="1"/>
  <c r="P429" i="1" s="1"/>
  <c r="P430" i="1" a="1"/>
  <c r="P430" i="1" s="1"/>
  <c r="P431" i="1" a="1"/>
  <c r="P431" i="1" s="1"/>
  <c r="P432" i="1" a="1"/>
  <c r="P432" i="1" s="1"/>
  <c r="P433" i="1" a="1"/>
  <c r="P433" i="1" s="1"/>
  <c r="P434" i="1" a="1"/>
  <c r="P434" i="1" s="1"/>
  <c r="P435" i="1" a="1"/>
  <c r="P435" i="1" s="1"/>
  <c r="P436" i="1" a="1"/>
  <c r="P436" i="1" s="1"/>
  <c r="P437" i="1" a="1"/>
  <c r="P437" i="1" s="1"/>
  <c r="P438" i="1" a="1"/>
  <c r="P438" i="1" s="1"/>
  <c r="P439" i="1" a="1"/>
  <c r="P439" i="1" s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 s="1"/>
  <c r="P447" i="1" a="1"/>
  <c r="P447" i="1" s="1"/>
  <c r="P448" i="1" a="1"/>
  <c r="P448" i="1" s="1"/>
  <c r="P449" i="1" a="1"/>
  <c r="P449" i="1" s="1"/>
  <c r="P450" i="1" a="1"/>
  <c r="P450" i="1" s="1"/>
  <c r="P451" i="1" a="1"/>
  <c r="P451" i="1" s="1"/>
  <c r="P452" i="1" a="1"/>
  <c r="P452" i="1" s="1"/>
  <c r="P453" i="1" a="1"/>
  <c r="P453" i="1" s="1"/>
  <c r="P454" i="1" a="1"/>
  <c r="P454" i="1" s="1"/>
  <c r="P455" i="1" a="1"/>
  <c r="P455" i="1" s="1"/>
  <c r="P456" i="1" a="1"/>
  <c r="P456" i="1" s="1"/>
  <c r="P457" i="1" a="1"/>
  <c r="P457" i="1" s="1"/>
  <c r="P458" i="1" a="1"/>
  <c r="P458" i="1" s="1"/>
  <c r="P459" i="1" a="1"/>
  <c r="P459" i="1" s="1"/>
  <c r="P460" i="1" a="1"/>
  <c r="P460" i="1" s="1"/>
  <c r="P461" i="1" a="1"/>
  <c r="P461" i="1" s="1"/>
  <c r="P462" i="1" a="1"/>
  <c r="P462" i="1" s="1"/>
  <c r="P463" i="1" a="1"/>
  <c r="P463" i="1" s="1"/>
  <c r="P464" i="1" a="1"/>
  <c r="P464" i="1" s="1"/>
  <c r="P465" i="1" a="1"/>
  <c r="P465" i="1" s="1"/>
  <c r="P466" i="1" a="1"/>
  <c r="P466" i="1" s="1"/>
  <c r="P467" i="1" a="1"/>
  <c r="P467" i="1" s="1"/>
  <c r="P468" i="1" a="1"/>
  <c r="P468" i="1" s="1"/>
  <c r="P469" i="1" a="1"/>
  <c r="P469" i="1" s="1"/>
  <c r="P470" i="1" a="1"/>
  <c r="P470" i="1" s="1"/>
  <c r="P471" i="1" a="1"/>
  <c r="P471" i="1" s="1"/>
  <c r="P472" i="1" a="1"/>
  <c r="P472" i="1" s="1"/>
  <c r="P473" i="1" a="1"/>
  <c r="P473" i="1" s="1"/>
  <c r="P474" i="1" a="1"/>
  <c r="P474" i="1" s="1"/>
  <c r="P475" i="1" a="1"/>
  <c r="P475" i="1" s="1"/>
  <c r="P476" i="1" a="1"/>
  <c r="P476" i="1" s="1"/>
  <c r="P477" i="1" a="1"/>
  <c r="P477" i="1" s="1"/>
  <c r="P478" i="1" a="1"/>
  <c r="P478" i="1" s="1"/>
  <c r="P479" i="1" a="1"/>
  <c r="P479" i="1" s="1"/>
  <c r="P480" i="1" a="1"/>
  <c r="P480" i="1" s="1"/>
  <c r="P481" i="1" a="1"/>
  <c r="P481" i="1" s="1"/>
  <c r="P482" i="1" a="1"/>
  <c r="P482" i="1" s="1"/>
  <c r="P483" i="1" a="1"/>
  <c r="P483" i="1" s="1"/>
  <c r="P484" i="1" a="1"/>
  <c r="P484" i="1" s="1"/>
  <c r="P485" i="1" a="1"/>
  <c r="P485" i="1" s="1"/>
  <c r="P486" i="1" a="1"/>
  <c r="P486" i="1" s="1"/>
  <c r="P487" i="1" a="1"/>
  <c r="P487" i="1" s="1"/>
  <c r="P488" i="1" a="1"/>
  <c r="P488" i="1" s="1"/>
  <c r="P489" i="1" a="1"/>
  <c r="P489" i="1" s="1"/>
  <c r="P490" i="1" a="1"/>
  <c r="P490" i="1" s="1"/>
  <c r="P491" i="1" a="1"/>
  <c r="P491" i="1" s="1"/>
  <c r="P492" i="1" a="1"/>
  <c r="P492" i="1" s="1"/>
  <c r="P493" i="1" a="1"/>
  <c r="P493" i="1" s="1"/>
  <c r="P494" i="1" a="1"/>
  <c r="P494" i="1" s="1"/>
  <c r="P495" i="1" a="1"/>
  <c r="P495" i="1" s="1"/>
  <c r="P496" i="1" a="1"/>
  <c r="P496" i="1" s="1"/>
  <c r="P497" i="1" a="1"/>
  <c r="P497" i="1" s="1"/>
  <c r="P498" i="1" a="1"/>
  <c r="P498" i="1" s="1"/>
  <c r="P499" i="1" a="1"/>
  <c r="P499" i="1" s="1"/>
  <c r="P500" i="1" a="1"/>
  <c r="P500" i="1" s="1"/>
  <c r="P501" i="1" a="1"/>
  <c r="P501" i="1" s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B58" i="1"/>
  <c r="H58" i="1"/>
  <c r="R58" i="1"/>
  <c r="B59" i="1"/>
  <c r="H59" i="1"/>
  <c r="R59" i="1"/>
  <c r="B57" i="1"/>
  <c r="H57" i="1"/>
  <c r="R57" i="1"/>
  <c r="B83" i="1"/>
  <c r="B4" i="1"/>
  <c r="B6" i="1"/>
  <c r="B5" i="1"/>
  <c r="B7" i="1"/>
  <c r="B8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H20" i="1"/>
  <c r="R20" i="1"/>
  <c r="H21" i="1"/>
  <c r="R21" i="1"/>
  <c r="H22" i="1"/>
  <c r="R22" i="1"/>
  <c r="H23" i="1"/>
  <c r="R23" i="1"/>
  <c r="H24" i="1"/>
  <c r="R24" i="1"/>
  <c r="H25" i="1"/>
  <c r="R25" i="1"/>
  <c r="H26" i="1"/>
  <c r="R26" i="1"/>
  <c r="H27" i="1"/>
  <c r="R27" i="1"/>
  <c r="H28" i="1"/>
  <c r="R28" i="1"/>
  <c r="H29" i="1"/>
  <c r="R29" i="1"/>
  <c r="H30" i="1"/>
  <c r="R30" i="1"/>
  <c r="H31" i="1"/>
  <c r="R31" i="1"/>
  <c r="H32" i="1"/>
  <c r="R32" i="1"/>
  <c r="H33" i="1"/>
  <c r="R33" i="1"/>
  <c r="H34" i="1"/>
  <c r="R34" i="1"/>
  <c r="H35" i="1"/>
  <c r="R35" i="1"/>
  <c r="R500" i="1"/>
  <c r="H500" i="1"/>
  <c r="R499" i="1"/>
  <c r="H499" i="1"/>
  <c r="R498" i="1"/>
  <c r="H498" i="1"/>
  <c r="R497" i="1"/>
  <c r="H497" i="1"/>
  <c r="R496" i="1"/>
  <c r="H496" i="1"/>
  <c r="R495" i="1"/>
  <c r="H495" i="1"/>
  <c r="R494" i="1"/>
  <c r="H494" i="1"/>
  <c r="R493" i="1"/>
  <c r="H493" i="1"/>
  <c r="R492" i="1"/>
  <c r="H492" i="1"/>
  <c r="R491" i="1"/>
  <c r="H491" i="1"/>
  <c r="R490" i="1"/>
  <c r="H490" i="1"/>
  <c r="R489" i="1"/>
  <c r="H489" i="1"/>
  <c r="R488" i="1"/>
  <c r="H488" i="1"/>
  <c r="R487" i="1"/>
  <c r="H487" i="1"/>
  <c r="R486" i="1"/>
  <c r="H486" i="1"/>
  <c r="R485" i="1"/>
  <c r="H485" i="1"/>
  <c r="R484" i="1"/>
  <c r="H484" i="1"/>
  <c r="R483" i="1"/>
  <c r="H483" i="1"/>
  <c r="R482" i="1"/>
  <c r="H482" i="1"/>
  <c r="R481" i="1"/>
  <c r="H481" i="1"/>
  <c r="R480" i="1"/>
  <c r="H480" i="1"/>
  <c r="R479" i="1"/>
  <c r="H479" i="1"/>
  <c r="R478" i="1"/>
  <c r="H478" i="1"/>
  <c r="R477" i="1"/>
  <c r="H477" i="1"/>
  <c r="R476" i="1"/>
  <c r="H476" i="1"/>
  <c r="R475" i="1"/>
  <c r="H475" i="1"/>
  <c r="R474" i="1"/>
  <c r="H474" i="1"/>
  <c r="R473" i="1"/>
  <c r="H473" i="1"/>
  <c r="R472" i="1"/>
  <c r="H472" i="1"/>
  <c r="R471" i="1"/>
  <c r="H471" i="1"/>
  <c r="R470" i="1"/>
  <c r="H470" i="1"/>
  <c r="R469" i="1"/>
  <c r="H469" i="1"/>
  <c r="R468" i="1"/>
  <c r="H468" i="1"/>
  <c r="R467" i="1"/>
  <c r="H467" i="1"/>
  <c r="R466" i="1"/>
  <c r="H466" i="1"/>
  <c r="R465" i="1"/>
  <c r="H465" i="1"/>
  <c r="R464" i="1"/>
  <c r="H464" i="1"/>
  <c r="R463" i="1"/>
  <c r="H463" i="1"/>
  <c r="R462" i="1"/>
  <c r="H462" i="1"/>
  <c r="R461" i="1"/>
  <c r="H461" i="1"/>
  <c r="R460" i="1"/>
  <c r="H460" i="1"/>
  <c r="R459" i="1"/>
  <c r="H459" i="1"/>
  <c r="R458" i="1"/>
  <c r="H458" i="1"/>
  <c r="R457" i="1"/>
  <c r="H457" i="1"/>
  <c r="R456" i="1"/>
  <c r="H456" i="1"/>
  <c r="R455" i="1"/>
  <c r="H455" i="1"/>
  <c r="R454" i="1"/>
  <c r="H454" i="1"/>
  <c r="R453" i="1"/>
  <c r="H453" i="1"/>
  <c r="R452" i="1"/>
  <c r="H452" i="1"/>
  <c r="R451" i="1"/>
  <c r="H451" i="1"/>
  <c r="R450" i="1"/>
  <c r="H450" i="1"/>
  <c r="R449" i="1"/>
  <c r="H449" i="1"/>
  <c r="R448" i="1"/>
  <c r="H448" i="1"/>
  <c r="R447" i="1"/>
  <c r="H447" i="1"/>
  <c r="R446" i="1"/>
  <c r="H446" i="1"/>
  <c r="R445" i="1"/>
  <c r="H445" i="1"/>
  <c r="R444" i="1"/>
  <c r="H444" i="1"/>
  <c r="R443" i="1"/>
  <c r="H443" i="1"/>
  <c r="R442" i="1"/>
  <c r="H442" i="1"/>
  <c r="R441" i="1"/>
  <c r="H441" i="1"/>
  <c r="R440" i="1"/>
  <c r="H440" i="1"/>
  <c r="R439" i="1"/>
  <c r="H439" i="1"/>
  <c r="R438" i="1"/>
  <c r="H438" i="1"/>
  <c r="R437" i="1"/>
  <c r="H437" i="1"/>
  <c r="R436" i="1"/>
  <c r="H436" i="1"/>
  <c r="R435" i="1"/>
  <c r="H435" i="1"/>
  <c r="R434" i="1"/>
  <c r="H434" i="1"/>
  <c r="R433" i="1"/>
  <c r="H433" i="1"/>
  <c r="R432" i="1"/>
  <c r="H432" i="1"/>
  <c r="R431" i="1"/>
  <c r="H431" i="1"/>
  <c r="R430" i="1"/>
  <c r="H430" i="1"/>
  <c r="R429" i="1"/>
  <c r="H429" i="1"/>
  <c r="R428" i="1"/>
  <c r="H428" i="1"/>
  <c r="R427" i="1"/>
  <c r="H427" i="1"/>
  <c r="R426" i="1"/>
  <c r="H426" i="1"/>
  <c r="R425" i="1"/>
  <c r="H425" i="1"/>
  <c r="R424" i="1"/>
  <c r="H424" i="1"/>
  <c r="R423" i="1"/>
  <c r="H423" i="1"/>
  <c r="R422" i="1"/>
  <c r="H422" i="1"/>
  <c r="R421" i="1"/>
  <c r="H421" i="1"/>
  <c r="R420" i="1"/>
  <c r="H420" i="1"/>
  <c r="R419" i="1"/>
  <c r="H419" i="1"/>
  <c r="R418" i="1"/>
  <c r="H418" i="1"/>
  <c r="R417" i="1"/>
  <c r="H417" i="1"/>
  <c r="R416" i="1"/>
  <c r="H416" i="1"/>
  <c r="R415" i="1"/>
  <c r="H415" i="1"/>
  <c r="R414" i="1"/>
  <c r="H414" i="1"/>
  <c r="R413" i="1"/>
  <c r="H413" i="1"/>
  <c r="R412" i="1"/>
  <c r="H412" i="1"/>
  <c r="R411" i="1"/>
  <c r="H411" i="1"/>
  <c r="R410" i="1"/>
  <c r="H410" i="1"/>
  <c r="R409" i="1"/>
  <c r="H409" i="1"/>
  <c r="R408" i="1"/>
  <c r="H408" i="1"/>
  <c r="R407" i="1"/>
  <c r="H407" i="1"/>
  <c r="R406" i="1"/>
  <c r="H406" i="1"/>
  <c r="R405" i="1"/>
  <c r="H405" i="1"/>
  <c r="R404" i="1"/>
  <c r="H404" i="1"/>
  <c r="R403" i="1"/>
  <c r="H403" i="1"/>
  <c r="R402" i="1"/>
  <c r="H402" i="1"/>
  <c r="R401" i="1"/>
  <c r="H401" i="1"/>
  <c r="R400" i="1"/>
  <c r="H400" i="1"/>
  <c r="R399" i="1"/>
  <c r="H399" i="1"/>
  <c r="R398" i="1"/>
  <c r="H398" i="1"/>
  <c r="R397" i="1"/>
  <c r="H397" i="1"/>
  <c r="R396" i="1"/>
  <c r="H396" i="1"/>
  <c r="R395" i="1"/>
  <c r="H395" i="1"/>
  <c r="R394" i="1"/>
  <c r="H394" i="1"/>
  <c r="R393" i="1"/>
  <c r="H393" i="1"/>
  <c r="R392" i="1"/>
  <c r="H392" i="1"/>
  <c r="R391" i="1"/>
  <c r="H391" i="1"/>
  <c r="R390" i="1"/>
  <c r="H390" i="1"/>
  <c r="R389" i="1"/>
  <c r="H389" i="1"/>
  <c r="R388" i="1"/>
  <c r="H388" i="1"/>
  <c r="R387" i="1"/>
  <c r="H387" i="1"/>
  <c r="R386" i="1"/>
  <c r="H386" i="1"/>
  <c r="R385" i="1"/>
  <c r="H385" i="1"/>
  <c r="R384" i="1"/>
  <c r="H384" i="1"/>
  <c r="R383" i="1"/>
  <c r="H383" i="1"/>
  <c r="R382" i="1"/>
  <c r="H382" i="1"/>
  <c r="R381" i="1"/>
  <c r="H381" i="1"/>
  <c r="R380" i="1"/>
  <c r="H380" i="1"/>
  <c r="R379" i="1"/>
  <c r="H379" i="1"/>
  <c r="R378" i="1"/>
  <c r="H378" i="1"/>
  <c r="R377" i="1"/>
  <c r="H377" i="1"/>
  <c r="R376" i="1"/>
  <c r="H376" i="1"/>
  <c r="R375" i="1"/>
  <c r="H375" i="1"/>
  <c r="R374" i="1"/>
  <c r="H374" i="1"/>
  <c r="R373" i="1"/>
  <c r="H373" i="1"/>
  <c r="R372" i="1"/>
  <c r="H372" i="1"/>
  <c r="R371" i="1"/>
  <c r="H371" i="1"/>
  <c r="R370" i="1"/>
  <c r="H370" i="1"/>
  <c r="R369" i="1"/>
  <c r="H369" i="1"/>
  <c r="R368" i="1"/>
  <c r="H368" i="1"/>
  <c r="R367" i="1"/>
  <c r="H367" i="1"/>
  <c r="R366" i="1"/>
  <c r="H366" i="1"/>
  <c r="R365" i="1"/>
  <c r="H365" i="1"/>
  <c r="R364" i="1"/>
  <c r="H364" i="1"/>
  <c r="R363" i="1"/>
  <c r="H363" i="1"/>
  <c r="R362" i="1"/>
  <c r="H362" i="1"/>
  <c r="R361" i="1"/>
  <c r="H361" i="1"/>
  <c r="R360" i="1"/>
  <c r="H360" i="1"/>
  <c r="R359" i="1"/>
  <c r="H359" i="1"/>
  <c r="R358" i="1"/>
  <c r="H358" i="1"/>
  <c r="R357" i="1"/>
  <c r="H357" i="1"/>
  <c r="R356" i="1"/>
  <c r="H356" i="1"/>
  <c r="R355" i="1"/>
  <c r="H355" i="1"/>
  <c r="R354" i="1"/>
  <c r="H354" i="1"/>
  <c r="R353" i="1"/>
  <c r="H353" i="1"/>
  <c r="R352" i="1"/>
  <c r="H352" i="1"/>
  <c r="R351" i="1"/>
  <c r="H351" i="1"/>
  <c r="R350" i="1"/>
  <c r="H350" i="1"/>
  <c r="R349" i="1"/>
  <c r="H349" i="1"/>
  <c r="R348" i="1"/>
  <c r="H348" i="1"/>
  <c r="R347" i="1"/>
  <c r="H347" i="1"/>
  <c r="R346" i="1"/>
  <c r="H346" i="1"/>
  <c r="R345" i="1"/>
  <c r="H345" i="1"/>
  <c r="R344" i="1"/>
  <c r="H344" i="1"/>
  <c r="R343" i="1"/>
  <c r="H343" i="1"/>
  <c r="R342" i="1"/>
  <c r="H342" i="1"/>
  <c r="R341" i="1"/>
  <c r="H341" i="1"/>
  <c r="R340" i="1"/>
  <c r="H340" i="1"/>
  <c r="R339" i="1"/>
  <c r="H339" i="1"/>
  <c r="R338" i="1"/>
  <c r="H338" i="1"/>
  <c r="R337" i="1"/>
  <c r="H337" i="1"/>
  <c r="R336" i="1"/>
  <c r="H336" i="1"/>
  <c r="R335" i="1"/>
  <c r="H335" i="1"/>
  <c r="R334" i="1"/>
  <c r="H334" i="1"/>
  <c r="R333" i="1"/>
  <c r="H333" i="1"/>
  <c r="R332" i="1"/>
  <c r="H332" i="1"/>
  <c r="R331" i="1"/>
  <c r="H331" i="1"/>
  <c r="R330" i="1"/>
  <c r="H330" i="1"/>
  <c r="R329" i="1"/>
  <c r="H329" i="1"/>
  <c r="R328" i="1"/>
  <c r="H328" i="1"/>
  <c r="R327" i="1"/>
  <c r="H327" i="1"/>
  <c r="R326" i="1"/>
  <c r="H326" i="1"/>
  <c r="R325" i="1"/>
  <c r="H325" i="1"/>
  <c r="R324" i="1"/>
  <c r="H324" i="1"/>
  <c r="R323" i="1"/>
  <c r="H323" i="1"/>
  <c r="R322" i="1"/>
  <c r="H322" i="1"/>
  <c r="R321" i="1"/>
  <c r="H321" i="1"/>
  <c r="R320" i="1"/>
  <c r="H320" i="1"/>
  <c r="R319" i="1"/>
  <c r="H319" i="1"/>
  <c r="R318" i="1"/>
  <c r="H318" i="1"/>
  <c r="R317" i="1"/>
  <c r="H317" i="1"/>
  <c r="R316" i="1"/>
  <c r="H316" i="1"/>
  <c r="R315" i="1"/>
  <c r="H315" i="1"/>
  <c r="R314" i="1"/>
  <c r="H314" i="1"/>
  <c r="R313" i="1"/>
  <c r="H313" i="1"/>
  <c r="R312" i="1"/>
  <c r="H312" i="1"/>
  <c r="R311" i="1"/>
  <c r="H311" i="1"/>
  <c r="R310" i="1"/>
  <c r="H310" i="1"/>
  <c r="R309" i="1"/>
  <c r="H309" i="1"/>
  <c r="R308" i="1"/>
  <c r="H308" i="1"/>
  <c r="R307" i="1"/>
  <c r="H307" i="1"/>
  <c r="R306" i="1"/>
  <c r="H306" i="1"/>
  <c r="R305" i="1"/>
  <c r="H305" i="1"/>
  <c r="R304" i="1"/>
  <c r="H304" i="1"/>
  <c r="R303" i="1"/>
  <c r="H303" i="1"/>
  <c r="R302" i="1"/>
  <c r="H302" i="1"/>
  <c r="R301" i="1"/>
  <c r="H301" i="1"/>
  <c r="R300" i="1"/>
  <c r="H300" i="1"/>
  <c r="R299" i="1"/>
  <c r="H299" i="1"/>
  <c r="R298" i="1"/>
  <c r="H298" i="1"/>
  <c r="R297" i="1"/>
  <c r="H297" i="1"/>
  <c r="R296" i="1"/>
  <c r="H296" i="1"/>
  <c r="R295" i="1"/>
  <c r="H295" i="1"/>
  <c r="R294" i="1"/>
  <c r="H294" i="1"/>
  <c r="R293" i="1"/>
  <c r="H293" i="1"/>
  <c r="R292" i="1"/>
  <c r="H292" i="1"/>
  <c r="R291" i="1"/>
  <c r="H291" i="1"/>
  <c r="R290" i="1"/>
  <c r="H290" i="1"/>
  <c r="R289" i="1"/>
  <c r="H289" i="1"/>
  <c r="R288" i="1"/>
  <c r="H288" i="1"/>
  <c r="R287" i="1"/>
  <c r="H287" i="1"/>
  <c r="R286" i="1"/>
  <c r="H286" i="1"/>
  <c r="R285" i="1"/>
  <c r="H285" i="1"/>
  <c r="R284" i="1"/>
  <c r="H284" i="1"/>
  <c r="R283" i="1"/>
  <c r="H283" i="1"/>
  <c r="R282" i="1"/>
  <c r="H282" i="1"/>
  <c r="R281" i="1"/>
  <c r="H281" i="1"/>
  <c r="R280" i="1"/>
  <c r="H280" i="1"/>
  <c r="R279" i="1"/>
  <c r="H279" i="1"/>
  <c r="R278" i="1"/>
  <c r="H278" i="1"/>
  <c r="R277" i="1"/>
  <c r="H277" i="1"/>
  <c r="R276" i="1"/>
  <c r="H276" i="1"/>
  <c r="R275" i="1"/>
  <c r="H275" i="1"/>
  <c r="R274" i="1"/>
  <c r="H274" i="1"/>
  <c r="R273" i="1"/>
  <c r="H273" i="1"/>
  <c r="R272" i="1"/>
  <c r="H272" i="1"/>
  <c r="R271" i="1"/>
  <c r="H271" i="1"/>
  <c r="R270" i="1"/>
  <c r="H270" i="1"/>
  <c r="R269" i="1"/>
  <c r="H269" i="1"/>
  <c r="R268" i="1"/>
  <c r="H268" i="1"/>
  <c r="R267" i="1"/>
  <c r="H267" i="1"/>
  <c r="R266" i="1"/>
  <c r="H266" i="1"/>
  <c r="R265" i="1"/>
  <c r="H265" i="1"/>
  <c r="R264" i="1"/>
  <c r="H264" i="1"/>
  <c r="R263" i="1"/>
  <c r="H263" i="1"/>
  <c r="R262" i="1"/>
  <c r="H262" i="1"/>
  <c r="R261" i="1"/>
  <c r="H261" i="1"/>
  <c r="R260" i="1"/>
  <c r="H260" i="1"/>
  <c r="R259" i="1"/>
  <c r="H259" i="1"/>
  <c r="R258" i="1"/>
  <c r="H258" i="1"/>
  <c r="R257" i="1"/>
  <c r="H257" i="1"/>
  <c r="R256" i="1"/>
  <c r="H256" i="1"/>
  <c r="R255" i="1"/>
  <c r="H255" i="1"/>
  <c r="R254" i="1"/>
  <c r="H254" i="1"/>
  <c r="R253" i="1"/>
  <c r="H253" i="1"/>
  <c r="R252" i="1"/>
  <c r="H252" i="1"/>
  <c r="R251" i="1"/>
  <c r="H251" i="1"/>
  <c r="R250" i="1"/>
  <c r="H250" i="1"/>
  <c r="R249" i="1"/>
  <c r="H249" i="1"/>
  <c r="R248" i="1"/>
  <c r="H248" i="1"/>
  <c r="R247" i="1"/>
  <c r="H247" i="1"/>
  <c r="R246" i="1"/>
  <c r="H246" i="1"/>
  <c r="R245" i="1"/>
  <c r="H245" i="1"/>
  <c r="R244" i="1"/>
  <c r="H244" i="1"/>
  <c r="R243" i="1"/>
  <c r="H243" i="1"/>
  <c r="R242" i="1"/>
  <c r="H242" i="1"/>
  <c r="R241" i="1"/>
  <c r="H241" i="1"/>
  <c r="R240" i="1"/>
  <c r="H240" i="1"/>
  <c r="R239" i="1"/>
  <c r="H239" i="1"/>
  <c r="R238" i="1"/>
  <c r="H238" i="1"/>
  <c r="R237" i="1"/>
  <c r="H237" i="1"/>
  <c r="R236" i="1"/>
  <c r="H236" i="1"/>
  <c r="R235" i="1"/>
  <c r="H235" i="1"/>
  <c r="R234" i="1"/>
  <c r="H234" i="1"/>
  <c r="R233" i="1"/>
  <c r="H233" i="1"/>
  <c r="R232" i="1"/>
  <c r="H232" i="1"/>
  <c r="R231" i="1"/>
  <c r="H231" i="1"/>
  <c r="R230" i="1"/>
  <c r="H230" i="1"/>
  <c r="R229" i="1"/>
  <c r="H229" i="1"/>
  <c r="R228" i="1"/>
  <c r="H228" i="1"/>
  <c r="R227" i="1"/>
  <c r="H227" i="1"/>
  <c r="R226" i="1"/>
  <c r="H226" i="1"/>
  <c r="R225" i="1"/>
  <c r="H225" i="1"/>
  <c r="R224" i="1"/>
  <c r="H224" i="1"/>
  <c r="R223" i="1"/>
  <c r="H223" i="1"/>
  <c r="R222" i="1"/>
  <c r="H222" i="1"/>
  <c r="R221" i="1"/>
  <c r="H221" i="1"/>
  <c r="R220" i="1"/>
  <c r="H220" i="1"/>
  <c r="R219" i="1"/>
  <c r="H219" i="1"/>
  <c r="R218" i="1"/>
  <c r="H218" i="1"/>
  <c r="R217" i="1"/>
  <c r="H217" i="1"/>
  <c r="R216" i="1"/>
  <c r="H216" i="1"/>
  <c r="R215" i="1"/>
  <c r="H215" i="1"/>
  <c r="R214" i="1"/>
  <c r="H214" i="1"/>
  <c r="R213" i="1"/>
  <c r="H213" i="1"/>
  <c r="R212" i="1"/>
  <c r="H212" i="1"/>
  <c r="R211" i="1"/>
  <c r="H211" i="1"/>
  <c r="R210" i="1"/>
  <c r="H210" i="1"/>
  <c r="R209" i="1"/>
  <c r="H209" i="1"/>
  <c r="R208" i="1"/>
  <c r="H208" i="1"/>
  <c r="R207" i="1"/>
  <c r="H207" i="1"/>
  <c r="R206" i="1"/>
  <c r="H206" i="1"/>
  <c r="R205" i="1"/>
  <c r="H205" i="1"/>
  <c r="R204" i="1"/>
  <c r="H204" i="1"/>
  <c r="R203" i="1"/>
  <c r="H203" i="1"/>
  <c r="R202" i="1"/>
  <c r="H202" i="1"/>
  <c r="R201" i="1"/>
  <c r="H201" i="1"/>
  <c r="R200" i="1"/>
  <c r="H200" i="1"/>
  <c r="R199" i="1"/>
  <c r="H199" i="1"/>
  <c r="R198" i="1"/>
  <c r="H198" i="1"/>
  <c r="R197" i="1"/>
  <c r="H197" i="1"/>
  <c r="R196" i="1"/>
  <c r="H196" i="1"/>
  <c r="R195" i="1"/>
  <c r="H195" i="1"/>
  <c r="R194" i="1"/>
  <c r="H194" i="1"/>
  <c r="R193" i="1"/>
  <c r="H193" i="1"/>
  <c r="R192" i="1"/>
  <c r="H192" i="1"/>
  <c r="R191" i="1"/>
  <c r="H191" i="1"/>
  <c r="R190" i="1"/>
  <c r="H190" i="1"/>
  <c r="R189" i="1"/>
  <c r="H189" i="1"/>
  <c r="R188" i="1"/>
  <c r="H188" i="1"/>
  <c r="R187" i="1"/>
  <c r="H187" i="1"/>
  <c r="R186" i="1"/>
  <c r="H186" i="1"/>
  <c r="R185" i="1"/>
  <c r="H185" i="1"/>
  <c r="R184" i="1"/>
  <c r="H184" i="1"/>
  <c r="R183" i="1"/>
  <c r="H183" i="1"/>
  <c r="R182" i="1"/>
  <c r="H182" i="1"/>
  <c r="R181" i="1"/>
  <c r="H181" i="1"/>
  <c r="R180" i="1"/>
  <c r="H180" i="1"/>
  <c r="R179" i="1"/>
  <c r="H179" i="1"/>
  <c r="R178" i="1"/>
  <c r="H178" i="1"/>
  <c r="R177" i="1"/>
  <c r="H177" i="1"/>
  <c r="R176" i="1"/>
  <c r="H176" i="1"/>
  <c r="R175" i="1"/>
  <c r="H175" i="1"/>
  <c r="R174" i="1"/>
  <c r="H174" i="1"/>
  <c r="R173" i="1"/>
  <c r="H173" i="1"/>
  <c r="R172" i="1"/>
  <c r="H172" i="1"/>
  <c r="R171" i="1"/>
  <c r="H171" i="1"/>
  <c r="R170" i="1"/>
  <c r="H170" i="1"/>
  <c r="R169" i="1"/>
  <c r="H169" i="1"/>
  <c r="R168" i="1"/>
  <c r="H168" i="1"/>
  <c r="R167" i="1"/>
  <c r="H167" i="1"/>
  <c r="R166" i="1"/>
  <c r="H166" i="1"/>
  <c r="R165" i="1"/>
  <c r="H165" i="1"/>
  <c r="R164" i="1"/>
  <c r="H164" i="1"/>
  <c r="R163" i="1"/>
  <c r="H163" i="1"/>
  <c r="R162" i="1"/>
  <c r="H162" i="1"/>
  <c r="R161" i="1"/>
  <c r="H161" i="1"/>
  <c r="R160" i="1"/>
  <c r="H160" i="1"/>
  <c r="R159" i="1"/>
  <c r="H159" i="1"/>
  <c r="R158" i="1"/>
  <c r="H158" i="1"/>
  <c r="R157" i="1"/>
  <c r="H157" i="1"/>
  <c r="R156" i="1"/>
  <c r="H156" i="1"/>
  <c r="R155" i="1"/>
  <c r="H155" i="1"/>
  <c r="R154" i="1"/>
  <c r="H154" i="1"/>
  <c r="R153" i="1"/>
  <c r="H153" i="1"/>
  <c r="R152" i="1"/>
  <c r="H152" i="1"/>
  <c r="R151" i="1"/>
  <c r="H151" i="1"/>
  <c r="R150" i="1"/>
  <c r="H150" i="1"/>
  <c r="R149" i="1"/>
  <c r="H149" i="1"/>
  <c r="R148" i="1"/>
  <c r="H148" i="1"/>
  <c r="R147" i="1"/>
  <c r="H147" i="1"/>
  <c r="R146" i="1"/>
  <c r="H146" i="1"/>
  <c r="R145" i="1"/>
  <c r="H145" i="1"/>
  <c r="R144" i="1"/>
  <c r="H144" i="1"/>
  <c r="R143" i="1"/>
  <c r="H143" i="1"/>
  <c r="R142" i="1"/>
  <c r="H142" i="1"/>
  <c r="R141" i="1"/>
  <c r="H141" i="1"/>
  <c r="R140" i="1"/>
  <c r="H140" i="1"/>
  <c r="R139" i="1"/>
  <c r="H139" i="1"/>
  <c r="R138" i="1"/>
  <c r="H138" i="1"/>
  <c r="R137" i="1"/>
  <c r="H137" i="1"/>
  <c r="R136" i="1"/>
  <c r="H136" i="1"/>
  <c r="R135" i="1"/>
  <c r="H135" i="1"/>
  <c r="R134" i="1"/>
  <c r="H134" i="1"/>
  <c r="R133" i="1"/>
  <c r="H133" i="1"/>
  <c r="R132" i="1"/>
  <c r="H132" i="1"/>
  <c r="R131" i="1"/>
  <c r="H131" i="1"/>
  <c r="R130" i="1"/>
  <c r="H130" i="1"/>
  <c r="R129" i="1"/>
  <c r="H129" i="1"/>
  <c r="R128" i="1"/>
  <c r="H128" i="1"/>
  <c r="R127" i="1"/>
  <c r="H127" i="1"/>
  <c r="R126" i="1"/>
  <c r="H126" i="1"/>
  <c r="R125" i="1"/>
  <c r="H125" i="1"/>
  <c r="R124" i="1"/>
  <c r="H124" i="1"/>
  <c r="R123" i="1"/>
  <c r="H123" i="1"/>
  <c r="R122" i="1"/>
  <c r="H122" i="1"/>
  <c r="R121" i="1"/>
  <c r="H121" i="1"/>
  <c r="R120" i="1"/>
  <c r="H120" i="1"/>
  <c r="R119" i="1"/>
  <c r="H119" i="1"/>
  <c r="R118" i="1"/>
  <c r="H118" i="1"/>
  <c r="R117" i="1"/>
  <c r="H117" i="1"/>
  <c r="R116" i="1"/>
  <c r="H116" i="1"/>
  <c r="R115" i="1"/>
  <c r="H115" i="1"/>
  <c r="R114" i="1"/>
  <c r="H114" i="1"/>
  <c r="R113" i="1"/>
  <c r="H113" i="1"/>
  <c r="R112" i="1"/>
  <c r="H112" i="1"/>
  <c r="R111" i="1"/>
  <c r="H111" i="1"/>
  <c r="R110" i="1"/>
  <c r="H110" i="1"/>
  <c r="R109" i="1"/>
  <c r="H109" i="1"/>
  <c r="R108" i="1"/>
  <c r="H108" i="1"/>
  <c r="R107" i="1"/>
  <c r="H107" i="1"/>
  <c r="R106" i="1"/>
  <c r="H106" i="1"/>
  <c r="R105" i="1"/>
  <c r="H105" i="1"/>
  <c r="R104" i="1"/>
  <c r="H104" i="1"/>
  <c r="R103" i="1"/>
  <c r="H103" i="1"/>
  <c r="R102" i="1"/>
  <c r="H102" i="1"/>
  <c r="R101" i="1"/>
  <c r="H101" i="1"/>
  <c r="R100" i="1"/>
  <c r="H100" i="1"/>
  <c r="R99" i="1"/>
  <c r="H99" i="1"/>
  <c r="R98" i="1"/>
  <c r="H98" i="1"/>
  <c r="R97" i="1"/>
  <c r="H97" i="1"/>
  <c r="R96" i="1"/>
  <c r="H96" i="1"/>
  <c r="R95" i="1"/>
  <c r="H95" i="1"/>
  <c r="R94" i="1"/>
  <c r="H94" i="1"/>
  <c r="R93" i="1"/>
  <c r="H93" i="1"/>
  <c r="R92" i="1"/>
  <c r="H92" i="1"/>
  <c r="R91" i="1"/>
  <c r="H91" i="1"/>
  <c r="R90" i="1"/>
  <c r="H90" i="1"/>
  <c r="R89" i="1"/>
  <c r="H89" i="1"/>
  <c r="R88" i="1"/>
  <c r="H88" i="1"/>
  <c r="R87" i="1"/>
  <c r="H87" i="1"/>
  <c r="R86" i="1"/>
  <c r="H86" i="1"/>
  <c r="R85" i="1"/>
  <c r="H85" i="1"/>
  <c r="R84" i="1"/>
  <c r="H84" i="1"/>
  <c r="R83" i="1"/>
  <c r="H83" i="1"/>
  <c r="R82" i="1"/>
  <c r="H82" i="1"/>
  <c r="R81" i="1"/>
  <c r="H81" i="1"/>
  <c r="R80" i="1"/>
  <c r="H80" i="1"/>
  <c r="R79" i="1"/>
  <c r="H79" i="1"/>
  <c r="R78" i="1"/>
  <c r="H78" i="1"/>
  <c r="R77" i="1"/>
  <c r="H77" i="1"/>
  <c r="R76" i="1"/>
  <c r="H76" i="1"/>
  <c r="R75" i="1"/>
  <c r="H75" i="1"/>
  <c r="R74" i="1"/>
  <c r="H74" i="1"/>
  <c r="R73" i="1"/>
  <c r="H73" i="1"/>
  <c r="R72" i="1"/>
  <c r="H72" i="1"/>
  <c r="R71" i="1"/>
  <c r="H71" i="1"/>
  <c r="R70" i="1"/>
  <c r="H70" i="1"/>
  <c r="R69" i="1"/>
  <c r="H69" i="1"/>
  <c r="R68" i="1"/>
  <c r="H68" i="1"/>
  <c r="R67" i="1"/>
  <c r="H67" i="1"/>
  <c r="R66" i="1"/>
  <c r="H66" i="1"/>
  <c r="R65" i="1"/>
  <c r="H65" i="1"/>
  <c r="R64" i="1"/>
  <c r="H64" i="1"/>
  <c r="R63" i="1"/>
  <c r="H63" i="1"/>
  <c r="R62" i="1"/>
  <c r="H62" i="1"/>
  <c r="R61" i="1"/>
  <c r="H61" i="1"/>
  <c r="R60" i="1"/>
  <c r="H60" i="1"/>
  <c r="R49" i="1"/>
  <c r="H49" i="1"/>
  <c r="R48" i="1"/>
  <c r="H48" i="1"/>
  <c r="R47" i="1"/>
  <c r="H47" i="1"/>
  <c r="R46" i="1"/>
  <c r="H46" i="1"/>
  <c r="R45" i="1"/>
  <c r="H45" i="1"/>
  <c r="R44" i="1"/>
  <c r="H44" i="1"/>
  <c r="R43" i="1"/>
  <c r="H43" i="1"/>
  <c r="R42" i="1"/>
  <c r="H42" i="1"/>
  <c r="R41" i="1"/>
  <c r="H41" i="1"/>
  <c r="R40" i="1"/>
  <c r="H40" i="1"/>
  <c r="R39" i="1"/>
  <c r="H39" i="1"/>
  <c r="R38" i="1"/>
  <c r="H38" i="1"/>
  <c r="R37" i="1"/>
  <c r="H37" i="1"/>
  <c r="R36" i="1"/>
  <c r="H36" i="1"/>
  <c r="R16" i="1"/>
  <c r="M16" i="1" s="1"/>
  <c r="H16" i="1"/>
  <c r="B16" i="1"/>
  <c r="R52" i="1"/>
  <c r="B52" i="1"/>
  <c r="R54" i="1"/>
  <c r="B54" i="1"/>
  <c r="R50" i="1"/>
  <c r="H50" i="1"/>
  <c r="H51" i="1" s="1"/>
  <c r="H52" i="1" s="1"/>
  <c r="B50" i="1"/>
  <c r="R19" i="1"/>
  <c r="H19" i="1"/>
  <c r="R7" i="1"/>
  <c r="M7" i="1" s="1"/>
  <c r="R51" i="1"/>
  <c r="B51" i="1"/>
  <c r="R17" i="1"/>
  <c r="H17" i="1"/>
  <c r="B17" i="1"/>
  <c r="R55" i="1"/>
  <c r="B55" i="1"/>
  <c r="R4" i="1"/>
  <c r="M4" i="1" s="1"/>
  <c r="R18" i="1"/>
  <c r="H18" i="1"/>
  <c r="R3" i="1"/>
  <c r="M3" i="1" s="1"/>
  <c r="B3" i="1"/>
  <c r="R6" i="1"/>
  <c r="M6" i="1" s="1"/>
  <c r="R53" i="1"/>
  <c r="B53" i="1"/>
  <c r="R56" i="1"/>
  <c r="B56" i="1"/>
  <c r="R5" i="1"/>
  <c r="M5" i="1" s="1"/>
  <c r="R8" i="1"/>
  <c r="M8" i="1" s="1"/>
  <c r="R15" i="1"/>
  <c r="M15" i="1" s="1"/>
  <c r="H15" i="1"/>
  <c r="B15" i="1"/>
  <c r="R2" i="1"/>
  <c r="M2" i="1" s="1"/>
  <c r="H2" i="1"/>
  <c r="B2" i="1"/>
  <c r="R14" i="1"/>
  <c r="M14" i="1" s="1"/>
  <c r="H14" i="1"/>
  <c r="B14" i="1"/>
  <c r="R13" i="1"/>
  <c r="M13" i="1" s="1"/>
  <c r="H13" i="1"/>
  <c r="B13" i="1"/>
  <c r="R12" i="1"/>
  <c r="M12" i="1" s="1"/>
  <c r="H12" i="1"/>
  <c r="B12" i="1"/>
  <c r="R11" i="1"/>
  <c r="M11" i="1" s="1"/>
  <c r="H11" i="1"/>
  <c r="B11" i="1"/>
  <c r="R10" i="1"/>
  <c r="M10" i="1" s="1"/>
  <c r="H10" i="1"/>
  <c r="B10" i="1"/>
  <c r="R9" i="1"/>
  <c r="M9" i="1" s="1"/>
  <c r="H9" i="1"/>
  <c r="B9" i="1"/>
  <c r="P17" i="1" a="1"/>
  <c r="P2" i="1" a="1"/>
  <c r="P3" i="1" a="1"/>
  <c r="P13" i="1" a="1"/>
  <c r="P4" i="1" a="1"/>
  <c r="P14" i="1" a="1"/>
  <c r="P5" i="1" a="1"/>
  <c r="P15" i="1" a="1"/>
  <c r="P6" i="1" a="1"/>
  <c r="P7" i="1" a="1"/>
  <c r="P8" i="1" a="1"/>
  <c r="P9" i="1" a="1"/>
  <c r="P10" i="1" a="1"/>
  <c r="P11" i="1" a="1"/>
  <c r="P12" i="1" a="1"/>
  <c r="P16" i="1" a="1"/>
  <c r="G3" i="1" l="1"/>
  <c r="H3" i="1" s="1"/>
  <c r="G4" i="1" s="1"/>
  <c r="H4" i="1" s="1"/>
  <c r="G5" i="1" s="1"/>
  <c r="H5" i="1" s="1"/>
  <c r="G6" i="1" s="1"/>
  <c r="H6" i="1" s="1"/>
  <c r="G7" i="1" s="1"/>
  <c r="H7" i="1" s="1"/>
  <c r="G8" i="1" s="1"/>
  <c r="H8" i="1" s="1"/>
  <c r="P17" i="1"/>
  <c r="F17" i="1"/>
  <c r="D17" i="1" s="1"/>
  <c r="P2" i="1"/>
  <c r="F2" i="1"/>
  <c r="D2" i="1" s="1"/>
  <c r="E1" i="1"/>
  <c r="P12" i="1"/>
  <c r="P11" i="1"/>
  <c r="P10" i="1"/>
  <c r="P9" i="1"/>
  <c r="P8" i="1"/>
  <c r="P7" i="1"/>
  <c r="P6" i="1"/>
  <c r="P15" i="1"/>
  <c r="P5" i="1"/>
  <c r="P14" i="1"/>
  <c r="P4" i="1"/>
  <c r="P13" i="1"/>
  <c r="P3" i="1"/>
  <c r="P16" i="1"/>
  <c r="H53" i="1"/>
  <c r="H54" i="1" s="1"/>
  <c r="H55" i="1" s="1"/>
  <c r="H56" i="1" s="1"/>
  <c r="F4" i="1" l="1"/>
  <c r="D4" i="1" s="1"/>
  <c r="F8" i="1"/>
  <c r="D8" i="1" s="1"/>
  <c r="F5" i="1"/>
  <c r="D5" i="1" s="1"/>
  <c r="F6" i="1"/>
  <c r="D6" i="1" s="1"/>
  <c r="F10" i="1"/>
  <c r="D10" i="1" s="1"/>
  <c r="F12" i="1"/>
  <c r="D12" i="1" s="1"/>
  <c r="F14" i="1"/>
  <c r="D14" i="1" s="1"/>
  <c r="F3" i="1"/>
  <c r="D3" i="1" s="1"/>
  <c r="F7" i="1"/>
  <c r="D7" i="1" s="1"/>
  <c r="F15" i="1"/>
  <c r="D15" i="1" s="1"/>
  <c r="F9" i="1"/>
  <c r="D9" i="1" s="1"/>
  <c r="F11" i="1"/>
  <c r="D11" i="1" s="1"/>
  <c r="F13" i="1"/>
  <c r="D13" i="1" s="1"/>
  <c r="F16" i="1"/>
  <c r="D16" i="1" l="1"/>
  <c r="D1" i="1" s="1"/>
  <c r="F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<sst xmlns="http://schemas.openxmlformats.org/spreadsheetml/2006/main" count="98" uniqueCount="43">
  <si>
    <t>Name (# people)</t>
  </si>
  <si>
    <t>Duration (String)</t>
  </si>
  <si>
    <t>Day of Week</t>
  </si>
  <si>
    <t>Start Time</t>
  </si>
  <si>
    <t>End Time</t>
  </si>
  <si>
    <t>Attendance Integrity</t>
  </si>
  <si>
    <t># of skips</t>
  </si>
  <si>
    <t>Payment status</t>
  </si>
  <si>
    <t>Rent Applicable</t>
  </si>
  <si>
    <t>Applicable Rate</t>
  </si>
  <si>
    <t>Frequency</t>
  </si>
  <si>
    <t>Periods Attended</t>
  </si>
  <si>
    <t>Periods Possible</t>
  </si>
  <si>
    <t># of people</t>
  </si>
  <si>
    <t>Duration [hh:mm]</t>
  </si>
  <si>
    <t>Discount</t>
  </si>
  <si>
    <t>Helper Column (Do not change)</t>
  </si>
  <si>
    <t>Conner Goetz</t>
  </si>
  <si>
    <t>Saturday</t>
  </si>
  <si>
    <t>Unpaid</t>
  </si>
  <si>
    <t>Yes</t>
  </si>
  <si>
    <t>Weekly</t>
  </si>
  <si>
    <t>Tyler Garcia</t>
  </si>
  <si>
    <t>Paid</t>
  </si>
  <si>
    <t>No</t>
  </si>
  <si>
    <t>Aiden Morder</t>
  </si>
  <si>
    <t>Chase Farringer</t>
  </si>
  <si>
    <t>Havana Au</t>
  </si>
  <si>
    <t>Aiden Sweet</t>
  </si>
  <si>
    <t>Felix Xu</t>
  </si>
  <si>
    <t>Calleen Walker</t>
  </si>
  <si>
    <t>Sunday</t>
  </si>
  <si>
    <t>Test Student 3</t>
  </si>
  <si>
    <t>Test Student 4</t>
  </si>
  <si>
    <t>Test Student 5</t>
  </si>
  <si>
    <t>Test Student 6</t>
  </si>
  <si>
    <t>Test Student 7</t>
  </si>
  <si>
    <t>Test Student 8</t>
  </si>
  <si>
    <t>Inactive Students</t>
  </si>
  <si>
    <t>Name</t>
  </si>
  <si>
    <t>Day</t>
  </si>
  <si>
    <t>Duration</t>
  </si>
  <si>
    <t>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</si>
</sst>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h]:mm:ss;@"/>
    <numFmt numFmtId="165" formatCode="[$-409]h:mm\ AM/PM;@"/>
    <numFmt numFmtId="166" formatCode="h:mm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FFFFFF"/>
      <name val="Times New Roman"/>
      <family val="1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000000"/>
      <name val="Roboto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rgb="FF1155CC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FF0000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3" fillId="2" borderId="1" xfId="0" applyFont="1" applyFill="1" applyBorder="1" applyAlignment="1">
      <alignment wrapText="1"/>
    </xf>
    <xf numFmtId="0" fontId="4" fillId="3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vertical="top" wrapText="1"/>
    </xf>
    <xf numFmtId="0" fontId="4" fillId="3" borderId="2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wrapText="1"/>
    </xf>
    <xf numFmtId="0" fontId="4" fillId="3" borderId="0" xfId="0" applyFont="1" applyFill="1" applyAlignment="1">
      <alignment vertical="center" wrapText="1"/>
    </xf>
    <xf numFmtId="164" fontId="6" fillId="0" borderId="0" xfId="0" applyNumberFormat="1" applyFont="1" applyAlignment="1">
      <alignment wrapText="1"/>
    </xf>
    <xf numFmtId="0" fontId="0" fillId="0" borderId="0" xfId="0" applyAlignment="1">
      <alignment wrapText="1"/>
    </xf>
    <xf numFmtId="44" fontId="7" fillId="0" borderId="0" xfId="1" applyFont="1"/>
    <xf numFmtId="165" fontId="0" fillId="0" borderId="0" xfId="0" applyNumberFormat="1"/>
    <xf numFmtId="0" fontId="8" fillId="0" borderId="0" xfId="0" applyFont="1"/>
    <xf numFmtId="166" fontId="0" fillId="0" borderId="0" xfId="0" applyNumberFormat="1"/>
    <xf numFmtId="0" fontId="2" fillId="0" borderId="0" xfId="0" applyFont="1"/>
    <xf numFmtId="9" fontId="0" fillId="0" borderId="0" xfId="0" applyNumberFormat="1"/>
    <xf numFmtId="22" fontId="6" fillId="0" borderId="0" xfId="0" applyNumberFormat="1" applyFont="1"/>
    <xf numFmtId="0" fontId="10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2">
    <dxf>
      <font>
        <b val="0"/>
        <i/>
        <color theme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B7C1-73A9-4F2E-BB36-018C8AAAB84F}">
  <sheetPr codeName="Sheet1"/>
  <dimension ref="A1:Z501"/>
  <sheetViews>
    <sheetView tabSelected="1" workbookViewId="0">
      <selection activeCell="C17" sqref="C17"/>
    </sheetView>
  </sheetViews>
  <sheetFormatPr defaultRowHeight="14.4" x14ac:dyDescent="0.3"/>
  <cols>
    <col min="1" max="1" width="16.88671875" customWidth="1"/>
    <col min="2" max="2" width="13.21875" customWidth="1"/>
    <col min="3" max="3" width="14.21875" customWidth="1"/>
    <col min="4" max="4" width="19.44140625" customWidth="1"/>
    <col min="5" max="5" width="12.44140625" customWidth="1"/>
    <col min="6" max="6" width="18.6640625" customWidth="1"/>
    <col min="7" max="7" width="10.88671875" customWidth="1"/>
    <col min="8" max="8" width="13.5546875" customWidth="1"/>
    <col min="11" max="11" width="12.21875" customWidth="1"/>
    <col min="12" max="12" width="13.33203125" customWidth="1"/>
    <col min="13" max="13" width="11.88671875" customWidth="1"/>
    <col min="14" max="14" width="12.33203125" customWidth="1"/>
    <col min="15" max="15" width="13.44140625" customWidth="1"/>
    <col min="16" max="16" width="11.44140625" customWidth="1"/>
    <col min="17" max="17" width="20.88671875" customWidth="1"/>
    <col min="18" max="18" width="11" customWidth="1"/>
    <col min="19" max="19" width="18.77734375" customWidth="1"/>
    <col min="26" max="26" width="8.88671875" style="13"/>
  </cols>
  <sheetData>
    <row r="1" spans="1:26" ht="58.2" thickBot="1" x14ac:dyDescent="0.35">
      <c r="A1" s="1" t="s">
        <v>0</v>
      </c>
      <c r="B1" s="2" t="s">
        <v>1</v>
      </c>
      <c r="C1" s="1" t="s">
        <v>2</v>
      </c>
      <c r="D1" s="2" t="str">
        <f ca="1">"Net Pay" &amp; CHAR(10) &amp; "TOTAL: $" &amp; TEXT(SUM(D2:D1000), "0.00")</f>
        <v>Net Pay
TOTAL: $937.50</v>
      </c>
      <c r="E1" s="2" t="str">
        <f>"Studio Rent" &amp; CHAR(10) &amp; "TOTAL: $" &amp; TEXT(SUM(E2:E1000), "0.00")</f>
        <v>Studio Rent
TOTAL: $0.00</v>
      </c>
      <c r="F1" s="2" t="str">
        <f ca="1">"Gross Pay" &amp; CHAR(10) &amp; "TOTAL: $" &amp; TEXT(SUM(F2:F1000), "0.00")</f>
        <v>Gross Pay
TOTAL: $937.50</v>
      </c>
      <c r="G1" s="1" t="s">
        <v>3</v>
      </c>
      <c r="H1" s="2" t="s">
        <v>4</v>
      </c>
      <c r="I1" s="3" t="s">
        <v>5</v>
      </c>
      <c r="J1" s="3" t="s">
        <v>6</v>
      </c>
      <c r="K1" s="1" t="s">
        <v>7</v>
      </c>
      <c r="L1" s="1" t="s">
        <v>8</v>
      </c>
      <c r="M1" s="2" t="s">
        <v>9</v>
      </c>
      <c r="N1" s="1" t="s">
        <v>10</v>
      </c>
      <c r="O1" s="2" t="s">
        <v>11</v>
      </c>
      <c r="P1" s="4" t="s">
        <v>12</v>
      </c>
      <c r="Q1" s="5" t="s">
        <v>14</v>
      </c>
      <c r="R1" s="2" t="s">
        <v>13</v>
      </c>
      <c r="S1" s="6" t="s">
        <v>15</v>
      </c>
      <c r="U1" s="7"/>
      <c r="Z1" s="8" t="s">
        <v>16</v>
      </c>
    </row>
    <row r="2" spans="1:26" ht="18" x14ac:dyDescent="0.35">
      <c r="A2" t="s">
        <v>42</v>
      </c>
      <c r="B2" t="str">
        <f>IF(A2="", "", IF(Q2="", "", IF(Q2=TIME(0,30,0), "Half Hour", IF(Q2=TIME(1,0,0), "Hour", TEXT(Q2*1440, "0") &amp; " Minutes"))))</f>
        <v>Half Hour</v>
      </c>
      <c r="C2" t="s">
        <v>31</v>
      </c>
      <c r="D2" s="9">
        <f ca="1">IF(A2="","",F2-IF(E2="",0,E2))</f>
        <v>70</v>
      </c>
      <c r="E2">
        <f>IF(A2="","",IF(L2="No","",1.5*O2))</f>
        <v>0</v>
      </c>
      <c r="F2" s="9">
        <f ca="1">IF(A2="","",M2*P2)</f>
        <v>70</v>
      </c>
      <c r="G2" s="10">
        <v>0</v>
      </c>
      <c r="H2" s="10">
        <f>IF(A2="","",G2+Q2)</f>
        <v>2.0833333333333332E-2</v>
      </c>
      <c r="K2" t="s">
        <v>19</v>
      </c>
      <c r="L2" t="s">
        <v>20</v>
      </c>
      <c r="M2">
        <f>IF(A2="","",IF(Q2="", "", ROUND(20 * EXP(LN(50/20) * ((HOUR(Q2)*60 + MINUTE(Q2) - 30) / 30)), 2) * R2 * (1 - S2)))</f>
        <v>14</v>
      </c>
      <c r="N2" t="s">
        <v>21</v>
      </c>
      <c r="P2" cm="1">
        <f t="array" aca="1" ref="P2" ca="1">IF(AND(A2&lt;&gt;"", C2&lt;&gt;""),
   SUMPRODUCT(--(TEXT(DATE(YEAR(TODAY()), MONTH(TODAY()), ROW(INDIRECT("1:" &amp; DAY(EOMONTH(TODAY(), 0))))), "dddd")=C2)),
   "")</f>
        <v>5</v>
      </c>
      <c r="Q2" s="12">
        <v>2.0833333333333332E-2</v>
      </c>
      <c r="R2" s="11">
        <f>IF(A2="", "", IFERROR(VALUE(MID(A2,FIND("(",A2)+1,FIND(")",A2)-FIND("(",A2)-1)), 1))</f>
        <v>1</v>
      </c>
      <c r="S2" s="14">
        <v>0.3</v>
      </c>
      <c r="U2" s="13"/>
      <c r="Z2" s="13">
        <v>1</v>
      </c>
    </row>
    <row r="3" spans="1:26" ht="18" x14ac:dyDescent="0.35">
      <c r="A3" t="s">
        <v>32</v>
      </c>
      <c r="B3" t="str">
        <f>IF(A3="", "", IF(Q3="", "", IF(Q3=TIME(0,30,0), "Half Hour", IF(Q3=TIME(1,0,0), "Hour", TEXT(Q3*1440, "0") &amp; " Minutes"))))</f>
        <v>1 Minutes</v>
      </c>
      <c r="C3" t="s">
        <v>31</v>
      </c>
      <c r="D3" s="9">
        <f ca="1">IF(A3="","",F3-IF(E3="",0,E3))</f>
        <v>41.25</v>
      </c>
      <c r="E3">
        <f>IF(A3="","",IF(L3="No","",1.5*O3))</f>
        <v>0</v>
      </c>
      <c r="F3" s="9">
        <f ca="1">IF(A3="","",M3*P3)</f>
        <v>41.25</v>
      </c>
      <c r="G3" s="10">
        <f>H2</f>
        <v>2.0833333333333332E-2</v>
      </c>
      <c r="H3" s="10">
        <f>IF(A3="","",G3+Q3)</f>
        <v>2.1527777777777778E-2</v>
      </c>
      <c r="K3" t="s">
        <v>19</v>
      </c>
      <c r="L3" t="s">
        <v>20</v>
      </c>
      <c r="M3">
        <f>IF(A3="","",IF(Q3="", "", ROUND(20 * EXP(LN(50/20) * ((HOUR(Q3)*60 + MINUTE(Q3) - 30) / 30)), 2) * R3 * (1 - S3)))</f>
        <v>8.25</v>
      </c>
      <c r="N3" t="s">
        <v>21</v>
      </c>
      <c r="P3" cm="1">
        <f t="array" aca="1" ref="P3" ca="1">IF(AND(A3&lt;&gt;"", C3&lt;&gt;""),
   SUMPRODUCT(--(TEXT(DATE(YEAR(TODAY()), MONTH(TODAY()), ROW(INDIRECT("1:" &amp; DAY(EOMONTH(TODAY(), 0))))), "dddd")=C3)),
   "")</f>
        <v>5</v>
      </c>
      <c r="Q3" s="12">
        <v>6.9444444444444447E-4</v>
      </c>
      <c r="R3" s="11">
        <f>IF(A3="", "", IFERROR(VALUE(MID(A3,FIND("(",A3)+1,FIND(")",A3)-FIND("(",A3)-1)), 1))</f>
        <v>1</v>
      </c>
      <c r="U3" s="13"/>
      <c r="Z3" s="13">
        <v>1</v>
      </c>
    </row>
    <row r="4" spans="1:26" ht="18" x14ac:dyDescent="0.35">
      <c r="A4" t="s">
        <v>33</v>
      </c>
      <c r="B4" t="str">
        <f>IF(A4="", "", IF(Q4="", "", IF(Q4=TIME(0,30,0), "Half Hour", IF(Q4=TIME(1,0,0), "Hour", TEXT(Q4*1440, "0") &amp; " Minutes"))))</f>
        <v>1 Minutes</v>
      </c>
      <c r="C4" t="s">
        <v>31</v>
      </c>
      <c r="D4" s="9">
        <f ca="1">IF(A4="","",F4-IF(E4="",0,E4))</f>
        <v>41.25</v>
      </c>
      <c r="E4">
        <f>IF(A4="","",IF(L4="No","",1.5*O4))</f>
        <v>0</v>
      </c>
      <c r="F4" s="9">
        <f ca="1">IF(A4="","",M4*P4)</f>
        <v>41.25</v>
      </c>
      <c r="G4" s="10">
        <f>H3</f>
        <v>2.1527777777777778E-2</v>
      </c>
      <c r="H4" s="10">
        <f>IF(A4="","",G4+Q4)</f>
        <v>2.2222222222222223E-2</v>
      </c>
      <c r="K4" t="s">
        <v>19</v>
      </c>
      <c r="L4" t="s">
        <v>20</v>
      </c>
      <c r="M4">
        <f>IF(A4="","",IF(Q4="", "", ROUND(20 * EXP(LN(50/20) * ((HOUR(Q4)*60 + MINUTE(Q4) - 30) / 30)), 2) * R4 * (1 - S4)))</f>
        <v>8.25</v>
      </c>
      <c r="N4" t="s">
        <v>21</v>
      </c>
      <c r="P4" cm="1">
        <f t="array" aca="1" ref="P4" ca="1">IF(AND(A4&lt;&gt;"", C4&lt;&gt;""),
   SUMPRODUCT(--(TEXT(DATE(YEAR(TODAY()), MONTH(TODAY()), ROW(INDIRECT("1:" &amp; DAY(EOMONTH(TODAY(), 0))))), "dddd")=C4)),
   "")</f>
        <v>5</v>
      </c>
      <c r="Q4" s="12">
        <v>6.9444444444444447E-4</v>
      </c>
      <c r="R4" s="11">
        <f>IF(A4="", "", IFERROR(VALUE(MID(A4,FIND("(",A4)+1,FIND(")",A4)-FIND("(",A4)-1)), 1))</f>
        <v>1</v>
      </c>
      <c r="U4" s="13"/>
      <c r="Z4" s="13">
        <v>1</v>
      </c>
    </row>
    <row r="5" spans="1:26" ht="18" x14ac:dyDescent="0.35">
      <c r="A5" t="s">
        <v>34</v>
      </c>
      <c r="B5" t="str">
        <f>IF(A5="", "", IF(Q5="", "", IF(Q5=TIME(0,30,0), "Half Hour", IF(Q5=TIME(1,0,0), "Hour", TEXT(Q5*1440, "0") &amp; " Minutes"))))</f>
        <v>1 Minutes</v>
      </c>
      <c r="C5" t="s">
        <v>31</v>
      </c>
      <c r="D5" s="9">
        <f ca="1">IF(A5="","",F5-IF(E5="",0,E5))</f>
        <v>41.25</v>
      </c>
      <c r="E5">
        <f>IF(A5="","",IF(L5="No","",1.5*O5))</f>
        <v>0</v>
      </c>
      <c r="F5" s="9">
        <f ca="1">IF(A5="","",M5*P5)</f>
        <v>41.25</v>
      </c>
      <c r="G5" s="10">
        <f>H4</f>
        <v>2.2222222222222223E-2</v>
      </c>
      <c r="H5" s="10">
        <f>IF(A5="","",G5+Q5)</f>
        <v>2.2916666666666669E-2</v>
      </c>
      <c r="K5" t="s">
        <v>19</v>
      </c>
      <c r="L5" t="s">
        <v>20</v>
      </c>
      <c r="M5">
        <f>IF(A5="","",IF(Q5="", "", ROUND(20 * EXP(LN(50/20) * ((HOUR(Q5)*60 + MINUTE(Q5) - 30) / 30)), 2) * R5 * (1 - S5)))</f>
        <v>8.25</v>
      </c>
      <c r="N5" t="s">
        <v>21</v>
      </c>
      <c r="P5" cm="1">
        <f t="array" aca="1" ref="P5" ca="1">IF(AND(A5&lt;&gt;"", C5&lt;&gt;""),
   SUMPRODUCT(--(TEXT(DATE(YEAR(TODAY()), MONTH(TODAY()), ROW(INDIRECT("1:" &amp; DAY(EOMONTH(TODAY(), 0))))), "dddd")=C5)),
   "")</f>
        <v>5</v>
      </c>
      <c r="Q5" s="12">
        <v>6.9444444444444447E-4</v>
      </c>
      <c r="R5" s="11">
        <f>IF(A5="", "", IFERROR(VALUE(MID(A5,FIND("(",A5)+1,FIND(")",A5)-FIND("(",A5)-1)), 1))</f>
        <v>1</v>
      </c>
      <c r="U5" s="13"/>
      <c r="Z5" s="13">
        <v>1</v>
      </c>
    </row>
    <row r="6" spans="1:26" ht="18" x14ac:dyDescent="0.35">
      <c r="A6" t="s">
        <v>35</v>
      </c>
      <c r="B6" t="str">
        <f>IF(A6="", "", IF(Q6="", "", IF(Q6=TIME(0,30,0), "Half Hour", IF(Q6=TIME(1,0,0), "Hour", TEXT(Q6*1440, "0") &amp; " Minutes"))))</f>
        <v>1 Minutes</v>
      </c>
      <c r="C6" t="s">
        <v>31</v>
      </c>
      <c r="D6" s="9">
        <f ca="1">IF(A6="","",F6-IF(E6="",0,E6))</f>
        <v>41.25</v>
      </c>
      <c r="E6">
        <f>IF(A6="","",IF(L6="No","",1.5*O6))</f>
        <v>0</v>
      </c>
      <c r="F6" s="9">
        <f ca="1">IF(A6="","",M6*P6)</f>
        <v>41.25</v>
      </c>
      <c r="G6" s="10">
        <f>H5</f>
        <v>2.2916666666666669E-2</v>
      </c>
      <c r="H6" s="10">
        <f>IF(A6="","",G6+Q6)</f>
        <v>2.3611111111111114E-2</v>
      </c>
      <c r="K6" t="s">
        <v>19</v>
      </c>
      <c r="L6" t="s">
        <v>20</v>
      </c>
      <c r="M6">
        <f>IF(A6="","",IF(Q6="", "", ROUND(20 * EXP(LN(50/20) * ((HOUR(Q6)*60 + MINUTE(Q6) - 30) / 30)), 2) * R6 * (1 - S6)))</f>
        <v>8.25</v>
      </c>
      <c r="N6" t="s">
        <v>21</v>
      </c>
      <c r="P6" cm="1">
        <f t="array" aca="1" ref="P6" ca="1">IF(AND(A6&lt;&gt;"", C6&lt;&gt;""),
   SUMPRODUCT(--(TEXT(DATE(YEAR(TODAY()), MONTH(TODAY()), ROW(INDIRECT("1:" &amp; DAY(EOMONTH(TODAY(), 0))))), "dddd")=C6)),
   "")</f>
        <v>5</v>
      </c>
      <c r="Q6" s="12">
        <v>6.9444444444444447E-4</v>
      </c>
      <c r="R6" s="11">
        <f>IF(A6="", "", IFERROR(VALUE(MID(A6,FIND("(",A6)+1,FIND(")",A6)-FIND("(",A6)-1)), 1))</f>
        <v>1</v>
      </c>
      <c r="U6" s="13"/>
      <c r="Z6" s="13">
        <v>1</v>
      </c>
    </row>
    <row r="7" spans="1:26" ht="18" x14ac:dyDescent="0.35">
      <c r="A7" t="s">
        <v>36</v>
      </c>
      <c r="B7" t="str">
        <f>IF(A7="", "", IF(Q7="", "", IF(Q7=TIME(0,30,0), "Half Hour", IF(Q7=TIME(1,0,0), "Hour", TEXT(Q7*1440, "0") &amp; " Minutes"))))</f>
        <v>1 Minutes</v>
      </c>
      <c r="C7" t="s">
        <v>31</v>
      </c>
      <c r="D7" s="9">
        <f ca="1">IF(A7="","",F7-IF(E7="",0,E7))</f>
        <v>41.25</v>
      </c>
      <c r="E7">
        <f>IF(A7="","",IF(L7="No","",1.5*O7))</f>
        <v>0</v>
      </c>
      <c r="F7" s="9">
        <f ca="1">IF(A7="","",M7*P7)</f>
        <v>41.25</v>
      </c>
      <c r="G7" s="10">
        <f>H6</f>
        <v>2.3611111111111114E-2</v>
      </c>
      <c r="H7" s="10">
        <f>IF(A7="","",G7+Q7)</f>
        <v>2.4305555555555559E-2</v>
      </c>
      <c r="K7" t="s">
        <v>19</v>
      </c>
      <c r="L7" t="s">
        <v>20</v>
      </c>
      <c r="M7">
        <f>IF(A7="","",IF(Q7="", "", ROUND(20 * EXP(LN(50/20) * ((HOUR(Q7)*60 + MINUTE(Q7) - 30) / 30)), 2) * R7 * (1 - S7)))</f>
        <v>8.25</v>
      </c>
      <c r="N7" t="s">
        <v>21</v>
      </c>
      <c r="P7" cm="1">
        <f t="array" aca="1" ref="P7" ca="1">IF(AND(A7&lt;&gt;"", C7&lt;&gt;""),
   SUMPRODUCT(--(TEXT(DATE(YEAR(TODAY()), MONTH(TODAY()), ROW(INDIRECT("1:" &amp; DAY(EOMONTH(TODAY(), 0))))), "dddd")=C7)),
   "")</f>
        <v>5</v>
      </c>
      <c r="Q7" s="12">
        <v>6.9444444444444447E-4</v>
      </c>
      <c r="R7" s="11">
        <f>IF(A7="", "", IFERROR(VALUE(MID(A7,FIND("(",A7)+1,FIND(")",A7)-FIND("(",A7)-1)), 1))</f>
        <v>1</v>
      </c>
      <c r="U7" s="13"/>
      <c r="Z7" s="13">
        <v>1</v>
      </c>
    </row>
    <row r="8" spans="1:26" ht="18" x14ac:dyDescent="0.35">
      <c r="A8" t="s">
        <v>37</v>
      </c>
      <c r="B8" t="str">
        <f>IF(A8="", "", IF(Q8="", "", IF(Q8=TIME(0,30,0), "Half Hour", IF(Q8=TIME(1,0,0), "Hour", TEXT(Q8*1440, "0") &amp; " Minutes"))))</f>
        <v>1 Minutes</v>
      </c>
      <c r="C8" t="s">
        <v>31</v>
      </c>
      <c r="D8" s="9">
        <f ca="1">IF(A8="","",F8-IF(E8="",0,E8))</f>
        <v>41.25</v>
      </c>
      <c r="E8">
        <f>IF(A8="","",IF(L8="No","",1.5*O8))</f>
        <v>0</v>
      </c>
      <c r="F8" s="9">
        <f ca="1">IF(A8="","",M8*P8)</f>
        <v>41.25</v>
      </c>
      <c r="G8" s="10">
        <f>H7</f>
        <v>2.4305555555555559E-2</v>
      </c>
      <c r="H8" s="10">
        <f>IF(A8="","",G8+Q8)</f>
        <v>2.5000000000000005E-2</v>
      </c>
      <c r="K8" t="s">
        <v>19</v>
      </c>
      <c r="L8" t="s">
        <v>20</v>
      </c>
      <c r="M8">
        <f>IF(A8="","",IF(Q8="", "", ROUND(20 * EXP(LN(50/20) * ((HOUR(Q8)*60 + MINUTE(Q8) - 30) / 30)), 2) * R8 * (1 - S8)))</f>
        <v>8.25</v>
      </c>
      <c r="N8" t="s">
        <v>21</v>
      </c>
      <c r="P8" cm="1">
        <f t="array" aca="1" ref="P8" ca="1">IF(AND(A8&lt;&gt;"", C8&lt;&gt;""),
   SUMPRODUCT(--(TEXT(DATE(YEAR(TODAY()), MONTH(TODAY()), ROW(INDIRECT("1:" &amp; DAY(EOMONTH(TODAY(), 0))))), "dddd")=C8)),
   "")</f>
        <v>5</v>
      </c>
      <c r="Q8" s="12">
        <v>6.9444444444444447E-4</v>
      </c>
      <c r="R8" s="11">
        <f>IF(A8="", "", IFERROR(VALUE(MID(A8,FIND("(",A8)+1,FIND(")",A8)-FIND("(",A8)-1)), 1))</f>
        <v>1</v>
      </c>
      <c r="U8" s="13"/>
      <c r="Z8" s="13">
        <v>1</v>
      </c>
    </row>
    <row r="9" spans="1:26" ht="18" x14ac:dyDescent="0.35">
      <c r="A9" t="s">
        <v>17</v>
      </c>
      <c r="B9" t="str">
        <f>IF(A9="", "", IF(Q9="", "", IF(Q9=TIME(0,30,0), "Half Hour", IF(Q9=TIME(1,0,0), "Hour", TEXT(Q9*1440, "0") &amp; " Minutes"))))</f>
        <v>Half Hour</v>
      </c>
      <c r="C9" t="s">
        <v>18</v>
      </c>
      <c r="D9" s="9">
        <f ca="1">IF(A9="","",F9-IF(E9="",0,E9))</f>
        <v>80</v>
      </c>
      <c r="E9">
        <f>IF(A9="","",IF(L9="No","",1.5*O9))</f>
        <v>0</v>
      </c>
      <c r="F9" s="9">
        <f ca="1">IF(A9="","",M9*P9)</f>
        <v>80</v>
      </c>
      <c r="G9" s="10">
        <v>0.35416666666666669</v>
      </c>
      <c r="H9" s="10">
        <f>IF(A9="","",G9+Q9)</f>
        <v>0.375</v>
      </c>
      <c r="K9" t="s">
        <v>19</v>
      </c>
      <c r="L9" t="s">
        <v>20</v>
      </c>
      <c r="M9">
        <f>IF(A9="","",IF(Q9="", "", ROUND(20 * EXP(LN(50/20) * ((HOUR(Q9)*60 + MINUTE(Q9) - 30) / 30)), 2) * R9 * (1 - S9)))</f>
        <v>20</v>
      </c>
      <c r="N9" t="s">
        <v>21</v>
      </c>
      <c r="P9" cm="1">
        <f t="array" aca="1" ref="P9" ca="1">IF(AND(A9&lt;&gt;"", C9&lt;&gt;""),
   SUMPRODUCT(--(TEXT(DATE(YEAR(TODAY()), MONTH(TODAY()), ROW(INDIRECT("1:" &amp; DAY(EOMONTH(TODAY(), 0))))), "dddd")=C9)),
   "")</f>
        <v>4</v>
      </c>
      <c r="Q9" s="12">
        <v>2.0833333333333332E-2</v>
      </c>
      <c r="R9" s="11">
        <f>IF(A9="", "", IFERROR(VALUE(MID(A9,FIND("(",A9)+1,FIND(")",A9)-FIND("(",A9)-1)), 1))</f>
        <v>1</v>
      </c>
      <c r="U9" s="13"/>
      <c r="Z9" s="13">
        <v>7</v>
      </c>
    </row>
    <row r="10" spans="1:26" ht="18" x14ac:dyDescent="0.35">
      <c r="A10" t="s">
        <v>22</v>
      </c>
      <c r="B10" t="str">
        <f>IF(A10="", "", IF(Q10="", "", IF(Q10=TIME(0,30,0), "Half Hour", IF(Q10=TIME(1,0,0), "Hour", TEXT(Q10*1440, "0") &amp; " Minutes"))))</f>
        <v>Half Hour</v>
      </c>
      <c r="C10" t="s">
        <v>18</v>
      </c>
      <c r="D10" s="9">
        <f ca="1">IF(A10="","",F10-IF(E10="",0,E10))</f>
        <v>80</v>
      </c>
      <c r="E10" t="str">
        <f>IF(A10="","",IF(L10="No","",1.5*O10))</f>
        <v/>
      </c>
      <c r="F10" s="9">
        <f ca="1">IF(A10="","",M10*P10)</f>
        <v>80</v>
      </c>
      <c r="G10" s="10">
        <v>0.375</v>
      </c>
      <c r="H10" s="10">
        <f>IF(A10="","",G10+Q10)</f>
        <v>0.39583333333333331</v>
      </c>
      <c r="K10" t="s">
        <v>23</v>
      </c>
      <c r="L10" t="s">
        <v>24</v>
      </c>
      <c r="M10">
        <f>IF(A10="","",IF(Q10="", "", ROUND(20 * EXP(LN(50/20) * ((HOUR(Q10)*60 + MINUTE(Q10) - 30) / 30)), 2) * R10 * (1 - S10)))</f>
        <v>20</v>
      </c>
      <c r="N10" t="s">
        <v>21</v>
      </c>
      <c r="P10" cm="1">
        <f t="array" aca="1" ref="P10" ca="1">IF(AND(A10&lt;&gt;"", C10&lt;&gt;""),
   SUMPRODUCT(--(TEXT(DATE(YEAR(TODAY()), MONTH(TODAY()), ROW(INDIRECT("1:" &amp; DAY(EOMONTH(TODAY(), 0))))), "dddd")=C10)),
   "")</f>
        <v>4</v>
      </c>
      <c r="Q10" s="12">
        <v>2.0833333333333332E-2</v>
      </c>
      <c r="R10" s="11">
        <f>IF(A10="", "", IFERROR(VALUE(MID(A10,FIND("(",A10)+1,FIND(")",A10)-FIND("(",A10)-1)), 1))</f>
        <v>1</v>
      </c>
      <c r="U10" s="13"/>
      <c r="Z10" s="13">
        <v>7</v>
      </c>
    </row>
    <row r="11" spans="1:26" ht="18" x14ac:dyDescent="0.35">
      <c r="A11" t="s">
        <v>25</v>
      </c>
      <c r="B11" t="str">
        <f>IF(A11="", "", IF(Q11="", "", IF(Q11=TIME(0,30,0), "Half Hour", IF(Q11=TIME(1,0,0), "Hour", TEXT(Q11*1440, "0") &amp; " Minutes"))))</f>
        <v>Half Hour</v>
      </c>
      <c r="C11" t="s">
        <v>18</v>
      </c>
      <c r="D11" s="9">
        <f ca="1">IF(A11="","",F11-IF(E11="",0,E11))</f>
        <v>80</v>
      </c>
      <c r="E11" t="str">
        <f>IF(A11="","",IF(L11="No","",1.5*O11))</f>
        <v/>
      </c>
      <c r="F11" s="9">
        <f ca="1">IF(A11="","",M11*P11)</f>
        <v>80</v>
      </c>
      <c r="G11" s="10">
        <v>0.39583333333333331</v>
      </c>
      <c r="H11" s="10">
        <f>IF(A11="","",G11+Q11)</f>
        <v>0.41666666666666663</v>
      </c>
      <c r="K11" t="s">
        <v>23</v>
      </c>
      <c r="L11" t="s">
        <v>24</v>
      </c>
      <c r="M11">
        <f>IF(A11="","",IF(Q11="", "", ROUND(20 * EXP(LN(50/20) * ((HOUR(Q11)*60 + MINUTE(Q11) - 30) / 30)), 2) * R11 * (1 - S11)))</f>
        <v>20</v>
      </c>
      <c r="N11" t="s">
        <v>21</v>
      </c>
      <c r="P11" cm="1">
        <f t="array" aca="1" ref="P11" ca="1">IF(AND(A11&lt;&gt;"", C11&lt;&gt;""),
   SUMPRODUCT(--(TEXT(DATE(YEAR(TODAY()), MONTH(TODAY()), ROW(INDIRECT("1:" &amp; DAY(EOMONTH(TODAY(), 0))))), "dddd")=C11)),
   "")</f>
        <v>4</v>
      </c>
      <c r="Q11" s="12">
        <v>2.0833333333333332E-2</v>
      </c>
      <c r="R11" s="11">
        <f>IF(A11="", "", IFERROR(VALUE(MID(A11,FIND("(",A11)+1,FIND(")",A11)-FIND("(",A11)-1)), 1))</f>
        <v>1</v>
      </c>
      <c r="U11" s="13"/>
      <c r="Z11" s="13">
        <v>7</v>
      </c>
    </row>
    <row r="12" spans="1:26" ht="18" x14ac:dyDescent="0.35">
      <c r="A12" t="s">
        <v>26</v>
      </c>
      <c r="B12" t="str">
        <f>IF(A12="", "", IF(Q12="", "", IF(Q12=TIME(0,30,0), "Half Hour", IF(Q12=TIME(1,0,0), "Hour", TEXT(Q12*1440, "0") &amp; " Minutes"))))</f>
        <v>Half Hour</v>
      </c>
      <c r="C12" t="s">
        <v>18</v>
      </c>
      <c r="D12" s="9">
        <f ca="1">IF(A12="","",F12-IF(E12="",0,E12))</f>
        <v>80</v>
      </c>
      <c r="E12">
        <f>IF(A12="","",IF(L12="No","",1.5*O12))</f>
        <v>0</v>
      </c>
      <c r="F12" s="9">
        <f ca="1">IF(A12="","",M12*P12)</f>
        <v>80</v>
      </c>
      <c r="G12" s="10">
        <v>0.41666666666666669</v>
      </c>
      <c r="H12" s="10">
        <f>IF(A12="","",G12+Q12)</f>
        <v>0.4375</v>
      </c>
      <c r="K12" t="s">
        <v>23</v>
      </c>
      <c r="L12" t="s">
        <v>20</v>
      </c>
      <c r="M12">
        <f>IF(A12="","",IF(Q12="", "", ROUND(20 * EXP(LN(50/20) * ((HOUR(Q12)*60 + MINUTE(Q12) - 30) / 30)), 2) * R12 * (1 - S12)))</f>
        <v>20</v>
      </c>
      <c r="N12" t="s">
        <v>21</v>
      </c>
      <c r="P12" cm="1">
        <f t="array" aca="1" ref="P12" ca="1">IF(AND(A12&lt;&gt;"", C12&lt;&gt;""),
   SUMPRODUCT(--(TEXT(DATE(YEAR(TODAY()), MONTH(TODAY()), ROW(INDIRECT("1:" &amp; DAY(EOMONTH(TODAY(), 0))))), "dddd")=C12)),
   "")</f>
        <v>4</v>
      </c>
      <c r="Q12" s="12">
        <v>2.0833333333333332E-2</v>
      </c>
      <c r="R12" s="11">
        <f>IF(A12="", "", IFERROR(VALUE(MID(A12,FIND("(",A12)+1,FIND(")",A12)-FIND("(",A12)-1)), 1))</f>
        <v>1</v>
      </c>
      <c r="U12" s="13"/>
      <c r="Z12" s="13">
        <v>7</v>
      </c>
    </row>
    <row r="13" spans="1:26" ht="18" x14ac:dyDescent="0.35">
      <c r="A13" t="s">
        <v>27</v>
      </c>
      <c r="B13" t="str">
        <f>IF(A13="", "", IF(Q13="", "", IF(Q13=TIME(0,30,0), "Half Hour", IF(Q13=TIME(1,0,0), "Hour", TEXT(Q13*1440, "0") &amp; " Minutes"))))</f>
        <v>Half Hour</v>
      </c>
      <c r="C13" t="s">
        <v>18</v>
      </c>
      <c r="D13" s="9">
        <f ca="1">IF(A13="","",F13-IF(E13="",0,E13))</f>
        <v>80</v>
      </c>
      <c r="E13">
        <f>IF(A13="","",IF(L13="No","",1.5*O13))</f>
        <v>0</v>
      </c>
      <c r="F13" s="9">
        <f ca="1">IF(A13="","",M13*P13)</f>
        <v>80</v>
      </c>
      <c r="G13" s="10">
        <v>0.4375</v>
      </c>
      <c r="H13" s="10">
        <f>IF(A13="","",G13+Q13)</f>
        <v>0.45833333333333331</v>
      </c>
      <c r="K13" t="s">
        <v>23</v>
      </c>
      <c r="L13" t="s">
        <v>20</v>
      </c>
      <c r="M13">
        <f>IF(A13="","",IF(Q13="", "", ROUND(20 * EXP(LN(50/20) * ((HOUR(Q13)*60 + MINUTE(Q13) - 30) / 30)), 2) * R13 * (1 - S13)))</f>
        <v>20</v>
      </c>
      <c r="N13" t="s">
        <v>21</v>
      </c>
      <c r="P13" cm="1">
        <f t="array" aca="1" ref="P13" ca="1">IF(AND(A13&lt;&gt;"", C13&lt;&gt;""),
   SUMPRODUCT(--(TEXT(DATE(YEAR(TODAY()), MONTH(TODAY()), ROW(INDIRECT("1:" &amp; DAY(EOMONTH(TODAY(), 0))))), "dddd")=C13)),
   "")</f>
        <v>4</v>
      </c>
      <c r="Q13" s="12">
        <v>2.0833333333333332E-2</v>
      </c>
      <c r="R13" s="11">
        <f>IF(A13="", "", IFERROR(VALUE(MID(A13,FIND("(",A13)+1,FIND(")",A13)-FIND("(",A13)-1)), 1))</f>
        <v>1</v>
      </c>
      <c r="U13" s="13"/>
      <c r="Z13" s="13">
        <v>7</v>
      </c>
    </row>
    <row r="14" spans="1:26" ht="18" x14ac:dyDescent="0.35">
      <c r="A14" t="s">
        <v>28</v>
      </c>
      <c r="B14" t="str">
        <f>IF(A14="", "", IF(Q14="", "", IF(Q14=TIME(0,30,0), "Half Hour", IF(Q14=TIME(1,0,0), "Hour", TEXT(Q14*1440, "0") &amp; " Minutes"))))</f>
        <v>Hour</v>
      </c>
      <c r="C14" t="s">
        <v>18</v>
      </c>
      <c r="D14" s="9">
        <f ca="1">IF(A14="","",F14-IF(E14="",0,E14))</f>
        <v>140</v>
      </c>
      <c r="E14" t="str">
        <f>IF(A14="","",IF(L14="No","",1.5*O14))</f>
        <v/>
      </c>
      <c r="F14" s="9">
        <f ca="1">IF(A14="","",M14*P14)</f>
        <v>140</v>
      </c>
      <c r="G14" s="10">
        <v>0.45833333333333331</v>
      </c>
      <c r="H14" s="10">
        <f>IF(A14="","",G14+Q14)</f>
        <v>0.5</v>
      </c>
      <c r="K14" t="s">
        <v>23</v>
      </c>
      <c r="L14" t="s">
        <v>24</v>
      </c>
      <c r="M14">
        <f>IF(A14="","",IF(Q14="", "", ROUND(20 * EXP(LN(50/20) * ((HOUR(Q14)*60 + MINUTE(Q14) - 30) / 30)), 2) * R14 * (1 - S14)))</f>
        <v>35</v>
      </c>
      <c r="N14" t="s">
        <v>21</v>
      </c>
      <c r="P14" cm="1">
        <f t="array" aca="1" ref="P14" ca="1">IF(AND(A14&lt;&gt;"", C14&lt;&gt;""),
   SUMPRODUCT(--(TEXT(DATE(YEAR(TODAY()), MONTH(TODAY()), ROW(INDIRECT("1:" &amp; DAY(EOMONTH(TODAY(), 0))))), "dddd")=C14)),
   "")</f>
        <v>4</v>
      </c>
      <c r="Q14" s="12">
        <v>4.1666666666666664E-2</v>
      </c>
      <c r="R14" s="11">
        <f>IF(A14="", "", IFERROR(VALUE(MID(A14,FIND("(",A14)+1,FIND(")",A14)-FIND("(",A14)-1)), 1))</f>
        <v>1</v>
      </c>
      <c r="S14" s="14">
        <v>0.3</v>
      </c>
      <c r="U14" s="13"/>
      <c r="Z14" s="13">
        <v>7</v>
      </c>
    </row>
    <row r="15" spans="1:26" ht="18" x14ac:dyDescent="0.35">
      <c r="A15" t="s">
        <v>30</v>
      </c>
      <c r="B15" t="str">
        <f>IF(A15="", "", IF(Q15="", "", IF(Q15=TIME(0,30,0), "Half Hour", IF(Q15=TIME(1,0,0), "Hour", TEXT(Q15*1440, "0") &amp; " Minutes"))))</f>
        <v>Half Hour</v>
      </c>
      <c r="C15" t="s">
        <v>18</v>
      </c>
      <c r="D15" s="9">
        <f ca="1">IF(A15="","",F15-IF(E15="",0,E15))</f>
        <v>80</v>
      </c>
      <c r="E15">
        <f>IF(A15="","",IF(L15="No","",1.5*O15))</f>
        <v>0</v>
      </c>
      <c r="F15" s="9">
        <f ca="1">IF(A15="","",M15*P15)</f>
        <v>80</v>
      </c>
      <c r="G15" s="10">
        <v>0.58333333333333337</v>
      </c>
      <c r="H15" s="10">
        <f>IF(A15="","",G15+Q15)</f>
        <v>0.60416666666666674</v>
      </c>
      <c r="K15" t="s">
        <v>23</v>
      </c>
      <c r="L15" t="s">
        <v>20</v>
      </c>
      <c r="M15">
        <f>IF(A15="","",IF(Q15="", "", ROUND(20 * EXP(LN(50/20) * ((HOUR(Q15)*60 + MINUTE(Q15) - 30) / 30)), 2) * R15 * (1 - S15)))</f>
        <v>20</v>
      </c>
      <c r="N15" t="s">
        <v>21</v>
      </c>
      <c r="P15" cm="1">
        <f t="array" aca="1" ref="P15" ca="1">IF(AND(A15&lt;&gt;"", C15&lt;&gt;""),
   SUMPRODUCT(--(TEXT(DATE(YEAR(TODAY()), MONTH(TODAY()), ROW(INDIRECT("1:" &amp; DAY(EOMONTH(TODAY(), 0))))), "dddd")=C15)),
   "")</f>
        <v>4</v>
      </c>
      <c r="Q15" s="12">
        <v>2.0833333333333332E-2</v>
      </c>
      <c r="R15" s="11">
        <f>IF(A15="", "", IFERROR(VALUE(MID(A15,FIND("(",A15)+1,FIND(")",A15)-FIND("(",A15)-1)), 1))</f>
        <v>1</v>
      </c>
      <c r="U15" s="13"/>
      <c r="Z15" s="13">
        <v>7</v>
      </c>
    </row>
    <row r="16" spans="1:26" ht="18" x14ac:dyDescent="0.35">
      <c r="B16" t="str">
        <f>IF(A16="", "", IF(Q16="", "", IF(Q16=TIME(0,30,0), "Half Hour", IF(Q16=TIME(1,0,0), "Hour", TEXT(Q16*1440, "0") &amp; " Minutes"))))</f>
        <v/>
      </c>
      <c r="D16" s="9" t="str">
        <f>IF(A16="","",F16-IF(E16="",0,E16))</f>
        <v/>
      </c>
      <c r="E16" t="str">
        <f>IF(A16="","",IF(L16="No","",1.5*O16))</f>
        <v/>
      </c>
      <c r="F16" s="9" t="str">
        <f>IF(A16="","",M16*P16)</f>
        <v/>
      </c>
      <c r="G16" s="10"/>
      <c r="H16" s="10" t="str">
        <f>IF(A16="","",G16+Q16)</f>
        <v/>
      </c>
      <c r="M16" t="str">
        <f>IF(A16="","",IF(Q16="", "", ROUND(20 * EXP(LN(50/20) * ((HOUR(Q16)*60 + MINUTE(Q16) - 30) / 30)), 2) * R16 * (1 - S16)))</f>
        <v/>
      </c>
      <c r="P16" t="str" cm="1">
        <f t="array" aca="1" ref="P16" ca="1">IF(AND(A16&lt;&gt;"", C16&lt;&gt;""),
   SUMPRODUCT(--(TEXT(DATE(YEAR(TODAY()), MONTH(TODAY()), ROW(INDIRECT("1:" &amp; DAY(EOMONTH(TODAY(), 0))))), "dddd")=C16)),
   "")</f>
        <v/>
      </c>
      <c r="Q16" s="12"/>
      <c r="R16" s="11" t="str">
        <f>IF(A16="", "", IFERROR(VALUE(MID(A16,FIND("(",A16)+1,FIND(")",A16)-FIND("(",A16)-1)), 1))</f>
        <v/>
      </c>
      <c r="U16" s="13"/>
      <c r="Z16" s="13">
        <v>999</v>
      </c>
    </row>
    <row r="17" spans="2:26" ht="18" x14ac:dyDescent="0.35">
      <c r="B17" t="str">
        <f>IF(A17="", "", IF(Q17="", "", IF(Q17=TIME(0,30,0), "Half Hour", IF(Q17=TIME(1,0,0), "Hour", TEXT(Q17*1440, "0") &amp; " Minutes"))))</f>
        <v/>
      </c>
      <c r="D17" s="9" t="str">
        <f t="shared" ref="D3:D66" si="0">IF(A17="","",F17-IF(E17="",0,E17))</f>
        <v/>
      </c>
      <c r="E17" t="str">
        <f t="shared" ref="E3:E66" si="1">IF(A17="","",IF(L17="No","",1.5*O17))</f>
        <v/>
      </c>
      <c r="F17" s="9" t="str">
        <f t="shared" ref="F3:F66" si="2">IF(A17="","",M17*P17)</f>
        <v/>
      </c>
      <c r="G17" s="10"/>
      <c r="H17" s="10" t="str">
        <f>IF(A17="","",G17+Q17)</f>
        <v/>
      </c>
      <c r="M17" t="str">
        <f>IF(A17="","",IF(Q17="", "", ROUND(20 * EXP(LN(50/20) * ((HOUR(Q17)*60 + MINUTE(Q17) - 30) / 30)), 2) * R17 * (1 - S17)))</f>
        <v/>
      </c>
      <c r="P17" t="str" cm="1">
        <f t="array" aca="1" ref="P17" ca="1">IF(AND(A17&lt;&gt;"", C17&lt;&gt;""),
   SUMPRODUCT(--(TEXT(DATE(YEAR(TODAY()), MONTH(TODAY()), ROW(INDIRECT("1:" &amp; DAY(EOMONTH(TODAY(), 0))))), "dddd")=C17)),
   "")</f>
        <v/>
      </c>
      <c r="Q17" s="12"/>
      <c r="R17" s="11" t="str">
        <f>IF(A17="", "", IFERROR(VALUE(MID(A17,FIND("(",A17)+1,FIND(")",A17)-FIND("(",A17)-1)), 1))</f>
        <v/>
      </c>
      <c r="U17" s="13"/>
      <c r="Z17" s="13">
        <v>999</v>
      </c>
    </row>
    <row r="18" spans="2:26" ht="18" x14ac:dyDescent="0.35">
      <c r="B18" t="str">
        <f>IF(A18="", "", IF(Q18="", "", IF(Q18=TIME(0,30,0), "Half Hour", IF(Q18=TIME(1,0,0), "Hour", TEXT(Q18*1440, "0") &amp; " Minutes"))))</f>
        <v/>
      </c>
      <c r="D18" s="9" t="str">
        <f t="shared" si="0"/>
        <v/>
      </c>
      <c r="E18" t="str">
        <f t="shared" si="1"/>
        <v/>
      </c>
      <c r="F18" s="9" t="str">
        <f t="shared" si="2"/>
        <v/>
      </c>
      <c r="G18" s="10"/>
      <c r="H18" s="10" t="str">
        <f>IF(A18="","",G18+Q18)</f>
        <v/>
      </c>
      <c r="M18" t="str">
        <f>IF(A18="","",IF(Q18="", "", ROUND(20 * EXP(LN(50/20) * ((HOUR(Q18)*60 + MINUTE(Q18) - 30) / 30)), 2) * R18 * (1 - S18)))</f>
        <v/>
      </c>
      <c r="P18" t="str" cm="1">
        <f t="array" aca="1" ref="P18" ca="1">IF(AND(A18&lt;&gt;"", C18&lt;&gt;""),
   SUMPRODUCT(--(TEXT(DATE(YEAR(TODAY()), MONTH(TODAY()), ROW(INDIRECT("1:" &amp; DAY(EOMONTH(TODAY(), 0))))), "dddd")=C18)),
   "")</f>
        <v/>
      </c>
      <c r="Q18" s="12"/>
      <c r="R18" s="11" t="str">
        <f t="shared" ref="R18:R33" si="3">IF(A18="", "", IFERROR(VALUE(MID(A18,FIND("(",A18)+1,FIND(")",A18)-FIND("(",A18)-1)), 1))</f>
        <v/>
      </c>
      <c r="U18" s="15"/>
      <c r="Z18" s="13">
        <v>999</v>
      </c>
    </row>
    <row r="19" spans="2:26" ht="18" x14ac:dyDescent="0.35">
      <c r="B19" t="str">
        <f>IF(A19="", "", IF(Q19="", "", IF(Q19=TIME(0,30,0), "Half Hour", IF(Q19=TIME(1,0,0), "Hour", TEXT(Q19*1440, "0") &amp; " Minutes"))))</f>
        <v/>
      </c>
      <c r="D19" s="9" t="str">
        <f t="shared" si="0"/>
        <v/>
      </c>
      <c r="E19" t="str">
        <f t="shared" si="1"/>
        <v/>
      </c>
      <c r="F19" s="9" t="str">
        <f t="shared" si="2"/>
        <v/>
      </c>
      <c r="G19" s="10"/>
      <c r="H19" s="10" t="str">
        <f>IF(A19="","",G19+Q19)</f>
        <v/>
      </c>
      <c r="M19" t="str">
        <f>IF(A19="","",IF(Q19="", "", ROUND(20 * EXP(LN(50/20) * ((HOUR(Q19)*60 + MINUTE(Q19) - 30) / 30)), 2) * R19 * (1 - S19)))</f>
        <v/>
      </c>
      <c r="P19" t="str" cm="1">
        <f t="array" aca="1" ref="P19" ca="1">IF(AND(A19&lt;&gt;"", C19&lt;&gt;""),
   SUMPRODUCT(--(TEXT(DATE(YEAR(TODAY()), MONTH(TODAY()), ROW(INDIRECT("1:" &amp; DAY(EOMONTH(TODAY(), 0))))), "dddd")=C19)),
   "")</f>
        <v/>
      </c>
      <c r="Q19" s="12"/>
      <c r="R19" s="11" t="str">
        <f t="shared" si="3"/>
        <v/>
      </c>
      <c r="U19" s="13"/>
      <c r="Z19" s="13">
        <v>999</v>
      </c>
    </row>
    <row r="20" spans="2:26" ht="18" x14ac:dyDescent="0.35">
      <c r="B20" t="str">
        <f>IF(A20="", "", IF(Q20="", "", IF(Q20=TIME(0,30,0), "Half Hour", IF(Q20=TIME(1,0,0), "Hour", TEXT(Q20*1440, "0") &amp; " Minutes"))))</f>
        <v/>
      </c>
      <c r="D20" s="9" t="str">
        <f t="shared" si="0"/>
        <v/>
      </c>
      <c r="E20" t="str">
        <f t="shared" si="1"/>
        <v/>
      </c>
      <c r="F20" s="9" t="str">
        <f t="shared" si="2"/>
        <v/>
      </c>
      <c r="G20" s="10"/>
      <c r="H20" s="10" t="str">
        <f>IF(A20="","",G20+Q20)</f>
        <v/>
      </c>
      <c r="M20" t="str">
        <f>IF(A20="","",IF(Q20="", "", ROUND(20 * EXP(LN(50/20) * ((HOUR(Q20)*60 + MINUTE(Q20) - 30) / 30)), 2) * R20 * (1 - S20)))</f>
        <v/>
      </c>
      <c r="P20" t="str" cm="1">
        <f t="array" aca="1" ref="P20" ca="1">IF(AND(A20&lt;&gt;"", C20&lt;&gt;""),
   SUMPRODUCT(--(TEXT(DATE(YEAR(TODAY()), MONTH(TODAY()), ROW(INDIRECT("1:" &amp; DAY(EOMONTH(TODAY(), 0))))), "dddd")=C20)),
   "")</f>
        <v/>
      </c>
      <c r="Q20" s="12"/>
      <c r="R20" s="11" t="str">
        <f t="shared" si="3"/>
        <v/>
      </c>
      <c r="U20" s="13"/>
      <c r="Z20" s="13">
        <v>999</v>
      </c>
    </row>
    <row r="21" spans="2:26" ht="18" x14ac:dyDescent="0.35">
      <c r="B21" t="str">
        <f>IF(A21="", "", IF(Q21="", "", IF(Q21=TIME(0,30,0), "Half Hour", IF(Q21=TIME(1,0,0), "Hour", TEXT(Q21*1440, "0") &amp; " Minutes"))))</f>
        <v/>
      </c>
      <c r="D21" s="9" t="str">
        <f t="shared" si="0"/>
        <v/>
      </c>
      <c r="E21" t="str">
        <f t="shared" si="1"/>
        <v/>
      </c>
      <c r="F21" s="9" t="str">
        <f t="shared" si="2"/>
        <v/>
      </c>
      <c r="G21" s="10"/>
      <c r="H21" s="10" t="str">
        <f>IF(A21="","",G21+Q21)</f>
        <v/>
      </c>
      <c r="M21" t="str">
        <f>IF(A21="","",IF(Q21="", "", ROUND(20 * EXP(LN(50/20) * ((HOUR(Q21)*60 + MINUTE(Q21) - 30) / 30)), 2) * R21 * (1 - S21)))</f>
        <v/>
      </c>
      <c r="P21" t="str" cm="1">
        <f t="array" aca="1" ref="P21" ca="1">IF(AND(A21&lt;&gt;"", C21&lt;&gt;""),
   SUMPRODUCT(--(TEXT(DATE(YEAR(TODAY()), MONTH(TODAY()), ROW(INDIRECT("1:" &amp; DAY(EOMONTH(TODAY(), 0))))), "dddd")=C21)),
   "")</f>
        <v/>
      </c>
      <c r="Q21" s="12"/>
      <c r="R21" s="11" t="str">
        <f t="shared" si="3"/>
        <v/>
      </c>
      <c r="U21" s="13"/>
      <c r="Z21" s="13">
        <v>999</v>
      </c>
    </row>
    <row r="22" spans="2:26" ht="18" x14ac:dyDescent="0.35">
      <c r="B22" t="str">
        <f>IF(A22="", "", IF(Q22="", "", IF(Q22=TIME(0,30,0), "Half Hour", IF(Q22=TIME(1,0,0), "Hour", TEXT(Q22*1440, "0") &amp; " Minutes"))))</f>
        <v/>
      </c>
      <c r="D22" s="9" t="str">
        <f t="shared" si="0"/>
        <v/>
      </c>
      <c r="E22" t="str">
        <f t="shared" si="1"/>
        <v/>
      </c>
      <c r="F22" s="9" t="str">
        <f t="shared" si="2"/>
        <v/>
      </c>
      <c r="G22" s="10"/>
      <c r="H22" s="10" t="str">
        <f>IF(A22="","",G22+Q22)</f>
        <v/>
      </c>
      <c r="M22" t="str">
        <f>IF(A22="","",IF(Q22="", "", ROUND(20 * EXP(LN(50/20) * ((HOUR(Q22)*60 + MINUTE(Q22) - 30) / 30)), 2) * R22 * (1 - S22)))</f>
        <v/>
      </c>
      <c r="P22" t="str" cm="1">
        <f t="array" aca="1" ref="P22" ca="1">IF(AND(A22&lt;&gt;"", C22&lt;&gt;""),
   SUMPRODUCT(--(TEXT(DATE(YEAR(TODAY()), MONTH(TODAY()), ROW(INDIRECT("1:" &amp; DAY(EOMONTH(TODAY(), 0))))), "dddd")=C22)),
   "")</f>
        <v/>
      </c>
      <c r="Q22" s="12"/>
      <c r="R22" s="11" t="str">
        <f t="shared" si="3"/>
        <v/>
      </c>
      <c r="U22" s="13"/>
      <c r="Z22" s="13">
        <v>999</v>
      </c>
    </row>
    <row r="23" spans="2:26" ht="18" x14ac:dyDescent="0.35">
      <c r="B23" t="str">
        <f>IF(A23="", "", IF(Q23="", "", IF(Q23=TIME(0,30,0), "Half Hour", IF(Q23=TIME(1,0,0), "Hour", TEXT(Q23*1440, "0") &amp; " Minutes"))))</f>
        <v/>
      </c>
      <c r="D23" s="9" t="str">
        <f t="shared" si="0"/>
        <v/>
      </c>
      <c r="E23" t="str">
        <f t="shared" si="1"/>
        <v/>
      </c>
      <c r="F23" s="9" t="str">
        <f t="shared" si="2"/>
        <v/>
      </c>
      <c r="G23" s="10"/>
      <c r="H23" s="10" t="str">
        <f>IF(A23="","",G23+Q23)</f>
        <v/>
      </c>
      <c r="M23" t="str">
        <f>IF(A23="","",IF(Q23="", "", ROUND(20 * EXP(LN(50/20) * ((HOUR(Q23)*60 + MINUTE(Q23) - 30) / 30)), 2) * R23 * (1 - S23)))</f>
        <v/>
      </c>
      <c r="P23" t="str" cm="1">
        <f t="array" aca="1" ref="P23" ca="1">IF(AND(A23&lt;&gt;"", C23&lt;&gt;""),
   SUMPRODUCT(--(TEXT(DATE(YEAR(TODAY()), MONTH(TODAY()), ROW(INDIRECT("1:" &amp; DAY(EOMONTH(TODAY(), 0))))), "dddd")=C23)),
   "")</f>
        <v/>
      </c>
      <c r="Q23" s="12"/>
      <c r="R23" s="11" t="str">
        <f t="shared" si="3"/>
        <v/>
      </c>
      <c r="U23" s="13"/>
      <c r="Z23" s="13">
        <v>999</v>
      </c>
    </row>
    <row r="24" spans="2:26" ht="18" x14ac:dyDescent="0.35">
      <c r="B24" t="str">
        <f>IF(A24="", "", IF(Q24="", "", IF(Q24=TIME(0,30,0), "Half Hour", IF(Q24=TIME(1,0,0), "Hour", TEXT(Q24*1440, "0") &amp; " Minutes"))))</f>
        <v/>
      </c>
      <c r="D24" s="9" t="str">
        <f t="shared" si="0"/>
        <v/>
      </c>
      <c r="E24" t="str">
        <f t="shared" si="1"/>
        <v/>
      </c>
      <c r="F24" s="9" t="str">
        <f t="shared" si="2"/>
        <v/>
      </c>
      <c r="G24" s="10"/>
      <c r="H24" s="10" t="str">
        <f>IF(A24="","",G24+Q24)</f>
        <v/>
      </c>
      <c r="M24" t="str">
        <f>IF(A24="","",IF(Q24="", "", ROUND(20 * EXP(LN(50/20) * ((HOUR(Q24)*60 + MINUTE(Q24) - 30) / 30)), 2) * R24 * (1 - S24)))</f>
        <v/>
      </c>
      <c r="P24" t="str" cm="1">
        <f t="array" aca="1" ref="P24" ca="1">IF(AND(A24&lt;&gt;"", C24&lt;&gt;""),
   SUMPRODUCT(--(TEXT(DATE(YEAR(TODAY()), MONTH(TODAY()), ROW(INDIRECT("1:" &amp; DAY(EOMONTH(TODAY(), 0))))), "dddd")=C24)),
   "")</f>
        <v/>
      </c>
      <c r="Q24" s="12"/>
      <c r="R24" s="11" t="str">
        <f t="shared" si="3"/>
        <v/>
      </c>
      <c r="U24" s="13"/>
      <c r="Z24" s="13">
        <v>999</v>
      </c>
    </row>
    <row r="25" spans="2:26" ht="18" x14ac:dyDescent="0.35">
      <c r="B25" t="str">
        <f>IF(A25="", "", IF(Q25="", "", IF(Q25=TIME(0,30,0), "Half Hour", IF(Q25=TIME(1,0,0), "Hour", TEXT(Q25*1440, "0") &amp; " Minutes"))))</f>
        <v/>
      </c>
      <c r="D25" s="9" t="str">
        <f t="shared" si="0"/>
        <v/>
      </c>
      <c r="E25" t="str">
        <f t="shared" si="1"/>
        <v/>
      </c>
      <c r="F25" s="9" t="str">
        <f t="shared" si="2"/>
        <v/>
      </c>
      <c r="G25" s="10"/>
      <c r="H25" s="10" t="str">
        <f>IF(A25="","",G25+Q25)</f>
        <v/>
      </c>
      <c r="M25" t="str">
        <f>IF(A25="","",IF(Q25="", "", ROUND(20 * EXP(LN(50/20) * ((HOUR(Q25)*60 + MINUTE(Q25) - 30) / 30)), 2) * R25 * (1 - S25)))</f>
        <v/>
      </c>
      <c r="P25" t="str" cm="1">
        <f t="array" aca="1" ref="P25" ca="1">IF(AND(A25&lt;&gt;"", C25&lt;&gt;""),
   SUMPRODUCT(--(TEXT(DATE(YEAR(TODAY()), MONTH(TODAY()), ROW(INDIRECT("1:" &amp; DAY(EOMONTH(TODAY(), 0))))), "dddd")=C25)),
   "")</f>
        <v/>
      </c>
      <c r="Q25" s="12"/>
      <c r="R25" s="11" t="str">
        <f t="shared" si="3"/>
        <v/>
      </c>
      <c r="U25" s="13"/>
      <c r="Z25" s="13">
        <v>999</v>
      </c>
    </row>
    <row r="26" spans="2:26" ht="18" x14ac:dyDescent="0.35">
      <c r="B26" t="str">
        <f>IF(A26="", "", IF(Q26="", "", IF(Q26=TIME(0,30,0), "Half Hour", IF(Q26=TIME(1,0,0), "Hour", TEXT(Q26*1440, "0") &amp; " Minutes"))))</f>
        <v/>
      </c>
      <c r="D26" s="9" t="str">
        <f t="shared" si="0"/>
        <v/>
      </c>
      <c r="E26" t="str">
        <f t="shared" si="1"/>
        <v/>
      </c>
      <c r="F26" s="9" t="str">
        <f t="shared" si="2"/>
        <v/>
      </c>
      <c r="G26" s="10"/>
      <c r="H26" s="10" t="str">
        <f>IF(A26="","",G26+Q26)</f>
        <v/>
      </c>
      <c r="M26" t="str">
        <f>IF(A26="","",IF(Q26="", "", ROUND(20 * EXP(LN(50/20) * ((HOUR(Q26)*60 + MINUTE(Q26) - 30) / 30)), 2) * R26 * (1 - S26)))</f>
        <v/>
      </c>
      <c r="P26" t="str" cm="1">
        <f t="array" aca="1" ref="P26" ca="1">IF(AND(A26&lt;&gt;"", C26&lt;&gt;""),
   SUMPRODUCT(--(TEXT(DATE(YEAR(TODAY()), MONTH(TODAY()), ROW(INDIRECT("1:" &amp; DAY(EOMONTH(TODAY(), 0))))), "dddd")=C26)),
   "")</f>
        <v/>
      </c>
      <c r="Q26" s="12"/>
      <c r="R26" s="11" t="str">
        <f t="shared" si="3"/>
        <v/>
      </c>
      <c r="U26" s="13"/>
      <c r="Z26" s="13">
        <v>999</v>
      </c>
    </row>
    <row r="27" spans="2:26" ht="18" x14ac:dyDescent="0.35">
      <c r="B27" t="str">
        <f>IF(A27="", "", IF(Q27="", "", IF(Q27=TIME(0,30,0), "Half Hour", IF(Q27=TIME(1,0,0), "Hour", TEXT(Q27*1440, "0") &amp; " Minutes"))))</f>
        <v/>
      </c>
      <c r="D27" s="9" t="str">
        <f t="shared" si="0"/>
        <v/>
      </c>
      <c r="E27" t="str">
        <f t="shared" si="1"/>
        <v/>
      </c>
      <c r="F27" s="9" t="str">
        <f t="shared" si="2"/>
        <v/>
      </c>
      <c r="G27" s="10"/>
      <c r="H27" s="10" t="str">
        <f>IF(A27="","",G27+Q27)</f>
        <v/>
      </c>
      <c r="M27" t="str">
        <f>IF(A27="","",IF(Q27="", "", ROUND(20 * EXP(LN(50/20) * ((HOUR(Q27)*60 + MINUTE(Q27) - 30) / 30)), 2) * R27 * (1 - S27)))</f>
        <v/>
      </c>
      <c r="P27" t="str" cm="1">
        <f t="array" aca="1" ref="P27" ca="1">IF(AND(A27&lt;&gt;"", C27&lt;&gt;""),
   SUMPRODUCT(--(TEXT(DATE(YEAR(TODAY()), MONTH(TODAY()), ROW(INDIRECT("1:" &amp; DAY(EOMONTH(TODAY(), 0))))), "dddd")=C27)),
   "")</f>
        <v/>
      </c>
      <c r="Q27" s="12"/>
      <c r="R27" s="11" t="str">
        <f t="shared" si="3"/>
        <v/>
      </c>
      <c r="U27" s="13"/>
      <c r="Z27" s="13">
        <v>999</v>
      </c>
    </row>
    <row r="28" spans="2:26" ht="18" x14ac:dyDescent="0.35">
      <c r="B28" t="str">
        <f>IF(A28="", "", IF(Q28="", "", IF(Q28=TIME(0,30,0), "Half Hour", IF(Q28=TIME(1,0,0), "Hour", TEXT(Q28*1440, "0") &amp; " Minutes"))))</f>
        <v/>
      </c>
      <c r="D28" s="9" t="str">
        <f t="shared" si="0"/>
        <v/>
      </c>
      <c r="E28" t="str">
        <f t="shared" si="1"/>
        <v/>
      </c>
      <c r="F28" s="9" t="str">
        <f t="shared" si="2"/>
        <v/>
      </c>
      <c r="G28" s="10"/>
      <c r="H28" s="10" t="str">
        <f>IF(A28="","",G28+Q28)</f>
        <v/>
      </c>
      <c r="M28" t="str">
        <f>IF(A28="","",IF(Q28="", "", ROUND(20 * EXP(LN(50/20) * ((HOUR(Q28)*60 + MINUTE(Q28) - 30) / 30)), 2) * R28 * (1 - S28)))</f>
        <v/>
      </c>
      <c r="P28" t="str" cm="1">
        <f t="array" aca="1" ref="P28" ca="1">IF(AND(A28&lt;&gt;"", C28&lt;&gt;""),
   SUMPRODUCT(--(TEXT(DATE(YEAR(TODAY()), MONTH(TODAY()), ROW(INDIRECT("1:" &amp; DAY(EOMONTH(TODAY(), 0))))), "dddd")=C28)),
   "")</f>
        <v/>
      </c>
      <c r="Q28" s="12"/>
      <c r="R28" s="11" t="str">
        <f t="shared" si="3"/>
        <v/>
      </c>
      <c r="U28" s="13"/>
      <c r="Z28" s="13">
        <v>999</v>
      </c>
    </row>
    <row r="29" spans="2:26" ht="18" x14ac:dyDescent="0.35">
      <c r="B29" t="str">
        <f>IF(A29="", "", IF(Q29="", "", IF(Q29=TIME(0,30,0), "Half Hour", IF(Q29=TIME(1,0,0), "Hour", TEXT(Q29*1440, "0") &amp; " Minutes"))))</f>
        <v/>
      </c>
      <c r="D29" s="9" t="str">
        <f t="shared" si="0"/>
        <v/>
      </c>
      <c r="E29" t="str">
        <f t="shared" si="1"/>
        <v/>
      </c>
      <c r="F29" s="9" t="str">
        <f t="shared" si="2"/>
        <v/>
      </c>
      <c r="G29" s="10"/>
      <c r="H29" s="10" t="str">
        <f>IF(A29="","",G29+Q29)</f>
        <v/>
      </c>
      <c r="M29" t="str">
        <f>IF(A29="","",IF(Q29="", "", ROUND(20 * EXP(LN(50/20) * ((HOUR(Q29)*60 + MINUTE(Q29) - 30) / 30)), 2) * R29 * (1 - S29)))</f>
        <v/>
      </c>
      <c r="P29" t="str" cm="1">
        <f t="array" aca="1" ref="P29" ca="1">IF(AND(A29&lt;&gt;"", C29&lt;&gt;""),
   SUMPRODUCT(--(TEXT(DATE(YEAR(TODAY()), MONTH(TODAY()), ROW(INDIRECT("1:" &amp; DAY(EOMONTH(TODAY(), 0))))), "dddd")=C29)),
   "")</f>
        <v/>
      </c>
      <c r="Q29" s="12"/>
      <c r="R29" s="11" t="str">
        <f t="shared" si="3"/>
        <v/>
      </c>
      <c r="U29" s="13"/>
      <c r="Z29" s="13">
        <v>999</v>
      </c>
    </row>
    <row r="30" spans="2:26" ht="18" x14ac:dyDescent="0.35">
      <c r="B30" t="str">
        <f>IF(A30="", "", IF(Q30="", "", IF(Q30=TIME(0,30,0), "Half Hour", IF(Q30=TIME(1,0,0), "Hour", TEXT(Q30*1440, "0") &amp; " Minutes"))))</f>
        <v/>
      </c>
      <c r="D30" s="9" t="str">
        <f t="shared" si="0"/>
        <v/>
      </c>
      <c r="E30" t="str">
        <f t="shared" si="1"/>
        <v/>
      </c>
      <c r="F30" s="9" t="str">
        <f t="shared" si="2"/>
        <v/>
      </c>
      <c r="G30" s="10"/>
      <c r="H30" s="10" t="str">
        <f>IF(A30="","",G30+Q30)</f>
        <v/>
      </c>
      <c r="M30" t="str">
        <f>IF(A30="","",IF(Q30="", "", ROUND(20 * EXP(LN(50/20) * ((HOUR(Q30)*60 + MINUTE(Q30) - 30) / 30)), 2) * R30 * (1 - S30)))</f>
        <v/>
      </c>
      <c r="P30" t="str" cm="1">
        <f t="array" aca="1" ref="P30" ca="1">IF(AND(A30&lt;&gt;"", C30&lt;&gt;""),
   SUMPRODUCT(--(TEXT(DATE(YEAR(TODAY()), MONTH(TODAY()), ROW(INDIRECT("1:" &amp; DAY(EOMONTH(TODAY(), 0))))), "dddd")=C30)),
   "")</f>
        <v/>
      </c>
      <c r="Q30" s="12"/>
      <c r="R30" s="11" t="str">
        <f t="shared" si="3"/>
        <v/>
      </c>
      <c r="U30" s="13"/>
      <c r="Z30" s="13">
        <v>999</v>
      </c>
    </row>
    <row r="31" spans="2:26" ht="18" x14ac:dyDescent="0.35">
      <c r="B31" t="str">
        <f>IF(A31="", "", IF(Q31="", "", IF(Q31=TIME(0,30,0), "Half Hour", IF(Q31=TIME(1,0,0), "Hour", TEXT(Q31*1440, "0") &amp; " Minutes"))))</f>
        <v/>
      </c>
      <c r="D31" s="9" t="str">
        <f t="shared" si="0"/>
        <v/>
      </c>
      <c r="E31" t="str">
        <f t="shared" si="1"/>
        <v/>
      </c>
      <c r="F31" s="9" t="str">
        <f t="shared" si="2"/>
        <v/>
      </c>
      <c r="G31" s="10"/>
      <c r="H31" s="10" t="str">
        <f>IF(A31="","",G31+Q31)</f>
        <v/>
      </c>
      <c r="M31" t="str">
        <f>IF(A31="","",IF(Q31="", "", ROUND(20 * EXP(LN(50/20) * ((HOUR(Q31)*60 + MINUTE(Q31) - 30) / 30)), 2) * R31 * (1 - S31)))</f>
        <v/>
      </c>
      <c r="P31" t="str" cm="1">
        <f t="array" aca="1" ref="P31" ca="1">IF(AND(A31&lt;&gt;"", C31&lt;&gt;""),
   SUMPRODUCT(--(TEXT(DATE(YEAR(TODAY()), MONTH(TODAY()), ROW(INDIRECT("1:" &amp; DAY(EOMONTH(TODAY(), 0))))), "dddd")=C31)),
   "")</f>
        <v/>
      </c>
      <c r="Q31" s="12"/>
      <c r="R31" s="11" t="str">
        <f t="shared" si="3"/>
        <v/>
      </c>
      <c r="U31" s="13"/>
      <c r="Z31" s="13">
        <v>999</v>
      </c>
    </row>
    <row r="32" spans="2:26" ht="18" x14ac:dyDescent="0.35">
      <c r="B32" t="str">
        <f>IF(A32="", "", IF(Q32="", "", IF(Q32=TIME(0,30,0), "Half Hour", IF(Q32=TIME(1,0,0), "Hour", TEXT(Q32*1440, "0") &amp; " Minutes"))))</f>
        <v/>
      </c>
      <c r="D32" s="9" t="str">
        <f t="shared" si="0"/>
        <v/>
      </c>
      <c r="E32" t="str">
        <f t="shared" si="1"/>
        <v/>
      </c>
      <c r="F32" s="9" t="str">
        <f t="shared" si="2"/>
        <v/>
      </c>
      <c r="G32" s="10"/>
      <c r="H32" s="10" t="str">
        <f>IF(A32="","",G32+Q32)</f>
        <v/>
      </c>
      <c r="M32" t="str">
        <f>IF(A32="","",IF(Q32="", "", ROUND(20 * EXP(LN(50/20) * ((HOUR(Q32)*60 + MINUTE(Q32) - 30) / 30)), 2) * R32 * (1 - S32)))</f>
        <v/>
      </c>
      <c r="P32" t="str" cm="1">
        <f t="array" aca="1" ref="P32" ca="1">IF(AND(A32&lt;&gt;"", C32&lt;&gt;""),
   SUMPRODUCT(--(TEXT(DATE(YEAR(TODAY()), MONTH(TODAY()), ROW(INDIRECT("1:" &amp; DAY(EOMONTH(TODAY(), 0))))), "dddd")=C32)),
   "")</f>
        <v/>
      </c>
      <c r="Q32" s="12"/>
      <c r="R32" s="11" t="str">
        <f t="shared" si="3"/>
        <v/>
      </c>
      <c r="U32" s="13"/>
      <c r="Z32" s="13">
        <v>999</v>
      </c>
    </row>
    <row r="33" spans="2:26" ht="18" x14ac:dyDescent="0.35">
      <c r="B33" t="str">
        <f>IF(A33="", "", IF(Q33="", "", IF(Q33=TIME(0,30,0), "Half Hour", IF(Q33=TIME(1,0,0), "Hour", TEXT(Q33*1440, "0") &amp; " Minutes"))))</f>
        <v/>
      </c>
      <c r="D33" s="9" t="str">
        <f t="shared" si="0"/>
        <v/>
      </c>
      <c r="E33" t="str">
        <f t="shared" si="1"/>
        <v/>
      </c>
      <c r="F33" s="9" t="str">
        <f t="shared" si="2"/>
        <v/>
      </c>
      <c r="G33" s="10"/>
      <c r="H33" s="10" t="str">
        <f>IF(A33="","",G33+Q33)</f>
        <v/>
      </c>
      <c r="M33" t="str">
        <f>IF(A33="","",IF(Q33="", "", ROUND(20 * EXP(LN(50/20) * ((HOUR(Q33)*60 + MINUTE(Q33) - 30) / 30)), 2) * R33 * (1 - S33)))</f>
        <v/>
      </c>
      <c r="P33" t="str" cm="1">
        <f t="array" aca="1" ref="P33" ca="1">IF(AND(A33&lt;&gt;"", C33&lt;&gt;""),
   SUMPRODUCT(--(TEXT(DATE(YEAR(TODAY()), MONTH(TODAY()), ROW(INDIRECT("1:" &amp; DAY(EOMONTH(TODAY(), 0))))), "dddd")=C33)),
   "")</f>
        <v/>
      </c>
      <c r="Q33" s="12"/>
      <c r="R33" s="11" t="str">
        <f t="shared" si="3"/>
        <v/>
      </c>
      <c r="U33" s="13"/>
      <c r="Z33" s="13">
        <v>999</v>
      </c>
    </row>
    <row r="34" spans="2:26" ht="18" x14ac:dyDescent="0.35">
      <c r="B34" t="str">
        <f>IF(A34="", "", IF(Q34="", "", IF(Q34=TIME(0,30,0), "Half Hour", IF(Q34=TIME(1,0,0), "Hour", TEXT(Q34*1440, "0") &amp; " Minutes"))))</f>
        <v/>
      </c>
      <c r="D34" s="9" t="str">
        <f t="shared" si="0"/>
        <v/>
      </c>
      <c r="E34" t="str">
        <f t="shared" si="1"/>
        <v/>
      </c>
      <c r="F34" s="9" t="str">
        <f t="shared" si="2"/>
        <v/>
      </c>
      <c r="G34" s="10"/>
      <c r="H34" s="10" t="str">
        <f>IF(A34="","",G34+Q34)</f>
        <v/>
      </c>
      <c r="M34" t="str">
        <f>IF(A34="","",IF(Q34="", "", ROUND(20 * EXP(LN(50/20) * ((HOUR(Q34)*60 + MINUTE(Q34) - 30) / 30)), 2) * R34 * (1 - S34)))</f>
        <v/>
      </c>
      <c r="P34" t="str" cm="1">
        <f t="array" aca="1" ref="P34" ca="1">IF(AND(A34&lt;&gt;"", C34&lt;&gt;""),
   SUMPRODUCT(--(TEXT(DATE(YEAR(TODAY()), MONTH(TODAY()), ROW(INDIRECT("1:" &amp; DAY(EOMONTH(TODAY(), 0))))), "dddd")=C34)),
   "")</f>
        <v/>
      </c>
      <c r="Q34" s="12"/>
      <c r="R34" s="11" t="str">
        <f t="shared" ref="R34:R57" si="4">IF(A34="", "", IFERROR(VALUE(MID(A34,FIND("(",A34)+1,FIND(")",A34)-FIND("(",A34)-1)), 1))</f>
        <v/>
      </c>
      <c r="U34" s="13"/>
      <c r="Z34" s="13">
        <v>999</v>
      </c>
    </row>
    <row r="35" spans="2:26" ht="18" x14ac:dyDescent="0.35">
      <c r="B35" t="str">
        <f>IF(A35="", "", IF(Q35="", "", IF(Q35=TIME(0,30,0), "Half Hour", IF(Q35=TIME(1,0,0), "Hour", TEXT(Q35*1440, "0") &amp; " Minutes"))))</f>
        <v/>
      </c>
      <c r="D35" s="9" t="str">
        <f t="shared" si="0"/>
        <v/>
      </c>
      <c r="E35" t="str">
        <f t="shared" si="1"/>
        <v/>
      </c>
      <c r="F35" s="9" t="str">
        <f t="shared" si="2"/>
        <v/>
      </c>
      <c r="G35" s="10"/>
      <c r="H35" s="10" t="str">
        <f>IF(A35="","",G35+Q35)</f>
        <v/>
      </c>
      <c r="M35" t="str">
        <f>IF(A35="","",IF(Q35="", "", ROUND(20 * EXP(LN(50/20) * ((HOUR(Q35)*60 + MINUTE(Q35) - 30) / 30)), 2) * R35 * (1 - S35)))</f>
        <v/>
      </c>
      <c r="P35" t="str" cm="1">
        <f t="array" aca="1" ref="P35" ca="1">IF(AND(A35&lt;&gt;"", C35&lt;&gt;""),
   SUMPRODUCT(--(TEXT(DATE(YEAR(TODAY()), MONTH(TODAY()), ROW(INDIRECT("1:" &amp; DAY(EOMONTH(TODAY(), 0))))), "dddd")=C35)),
   "")</f>
        <v/>
      </c>
      <c r="Q35" s="12"/>
      <c r="R35" s="11" t="str">
        <f t="shared" si="4"/>
        <v/>
      </c>
      <c r="U35" s="13"/>
      <c r="Z35" s="13">
        <v>999</v>
      </c>
    </row>
    <row r="36" spans="2:26" ht="18" x14ac:dyDescent="0.35">
      <c r="B36" t="str">
        <f>IF(A36="", "", IF(Q36="", "", IF(Q36=TIME(0,30,0), "Half Hour", IF(Q36=TIME(1,0,0), "Hour", TEXT(Q36*1440, "0") &amp; " Minutes"))))</f>
        <v/>
      </c>
      <c r="D36" s="9" t="str">
        <f t="shared" si="0"/>
        <v/>
      </c>
      <c r="E36" t="str">
        <f t="shared" si="1"/>
        <v/>
      </c>
      <c r="F36" s="9" t="str">
        <f t="shared" si="2"/>
        <v/>
      </c>
      <c r="G36" s="10"/>
      <c r="H36" s="10" t="str">
        <f>IF(A36="","",G36+Q36)</f>
        <v/>
      </c>
      <c r="M36" t="str">
        <f>IF(A36="","",IF(Q36="", "", ROUND(20 * EXP(LN(50/20) * ((HOUR(Q36)*60 + MINUTE(Q36) - 30) / 30)), 2) * R36 * (1 - S36)))</f>
        <v/>
      </c>
      <c r="P36" t="str" cm="1">
        <f t="array" aca="1" ref="P36" ca="1">IF(AND(A36&lt;&gt;"", C36&lt;&gt;""),
   SUMPRODUCT(--(TEXT(DATE(YEAR(TODAY()), MONTH(TODAY()), ROW(INDIRECT("1:" &amp; DAY(EOMONTH(TODAY(), 0))))), "dddd")=C36)),
   "")</f>
        <v/>
      </c>
      <c r="Q36" s="12"/>
      <c r="R36" s="11" t="str">
        <f t="shared" si="4"/>
        <v/>
      </c>
      <c r="U36" s="13"/>
      <c r="Z36" s="13">
        <v>999</v>
      </c>
    </row>
    <row r="37" spans="2:26" ht="18" x14ac:dyDescent="0.35">
      <c r="B37" t="str">
        <f>IF(A37="", "", IF(Q37="", "", IF(Q37=TIME(0,30,0), "Half Hour", IF(Q37=TIME(1,0,0), "Hour", TEXT(Q37*1440, "0") &amp; " Minutes"))))</f>
        <v/>
      </c>
      <c r="D37" s="9" t="str">
        <f t="shared" si="0"/>
        <v/>
      </c>
      <c r="E37" t="str">
        <f t="shared" si="1"/>
        <v/>
      </c>
      <c r="F37" s="9" t="str">
        <f t="shared" si="2"/>
        <v/>
      </c>
      <c r="G37" s="10"/>
      <c r="H37" s="10" t="str">
        <f>IF(A37="","",G37+Q37)</f>
        <v/>
      </c>
      <c r="M37" t="str">
        <f>IF(A37="","",IF(Q37="", "", ROUND(20 * EXP(LN(50/20) * ((HOUR(Q37)*60 + MINUTE(Q37) - 30) / 30)), 2) * R37 * (1 - S37)))</f>
        <v/>
      </c>
      <c r="P37" t="str" cm="1">
        <f t="array" aca="1" ref="P37" ca="1">IF(AND(A37&lt;&gt;"", C37&lt;&gt;""),
   SUMPRODUCT(--(TEXT(DATE(YEAR(TODAY()), MONTH(TODAY()), ROW(INDIRECT("1:" &amp; DAY(EOMONTH(TODAY(), 0))))), "dddd")=C37)),
   "")</f>
        <v/>
      </c>
      <c r="Q37" s="12"/>
      <c r="R37" s="11" t="str">
        <f t="shared" si="4"/>
        <v/>
      </c>
      <c r="U37" s="13"/>
      <c r="Z37" s="13">
        <v>999</v>
      </c>
    </row>
    <row r="38" spans="2:26" ht="18" x14ac:dyDescent="0.35">
      <c r="B38" t="str">
        <f>IF(A38="", "", IF(Q38="", "", IF(Q38=TIME(0,30,0), "Half Hour", IF(Q38=TIME(1,0,0), "Hour", TEXT(Q38*1440, "0") &amp; " Minutes"))))</f>
        <v/>
      </c>
      <c r="D38" s="9" t="str">
        <f t="shared" si="0"/>
        <v/>
      </c>
      <c r="E38" t="str">
        <f t="shared" si="1"/>
        <v/>
      </c>
      <c r="F38" s="9" t="str">
        <f t="shared" si="2"/>
        <v/>
      </c>
      <c r="G38" s="10"/>
      <c r="H38" s="10" t="str">
        <f>IF(A38="","",G38+Q38)</f>
        <v/>
      </c>
      <c r="M38" t="str">
        <f>IF(A38="","",IF(Q38="", "", ROUND(20 * EXP(LN(50/20) * ((HOUR(Q38)*60 + MINUTE(Q38) - 30) / 30)), 2) * R38 * (1 - S38)))</f>
        <v/>
      </c>
      <c r="P38" t="str" cm="1">
        <f t="array" aca="1" ref="P38" ca="1">IF(AND(A38&lt;&gt;"", C38&lt;&gt;""),
   SUMPRODUCT(--(TEXT(DATE(YEAR(TODAY()), MONTH(TODAY()), ROW(INDIRECT("1:" &amp; DAY(EOMONTH(TODAY(), 0))))), "dddd")=C38)),
   "")</f>
        <v/>
      </c>
      <c r="Q38" s="12"/>
      <c r="R38" s="11" t="str">
        <f t="shared" si="4"/>
        <v/>
      </c>
      <c r="U38" s="13"/>
      <c r="Z38" s="13">
        <v>999</v>
      </c>
    </row>
    <row r="39" spans="2:26" ht="18" x14ac:dyDescent="0.35">
      <c r="B39" t="str">
        <f>IF(A39="", "", IF(Q39="", "", IF(Q39=TIME(0,30,0), "Half Hour", IF(Q39=TIME(1,0,0), "Hour", TEXT(Q39*1440, "0") &amp; " Minutes"))))</f>
        <v/>
      </c>
      <c r="D39" s="9" t="str">
        <f t="shared" si="0"/>
        <v/>
      </c>
      <c r="E39" t="str">
        <f t="shared" si="1"/>
        <v/>
      </c>
      <c r="F39" s="9" t="str">
        <f t="shared" si="2"/>
        <v/>
      </c>
      <c r="G39" s="10"/>
      <c r="H39" s="10" t="str">
        <f>IF(A39="","",G39+Q39)</f>
        <v/>
      </c>
      <c r="M39" t="str">
        <f>IF(A39="","",IF(Q39="", "", ROUND(20 * EXP(LN(50/20) * ((HOUR(Q39)*60 + MINUTE(Q39) - 30) / 30)), 2) * R39 * (1 - S39)))</f>
        <v/>
      </c>
      <c r="P39" t="str" cm="1">
        <f t="array" aca="1" ref="P39" ca="1">IF(AND(A39&lt;&gt;"", C39&lt;&gt;""),
   SUMPRODUCT(--(TEXT(DATE(YEAR(TODAY()), MONTH(TODAY()), ROW(INDIRECT("1:" &amp; DAY(EOMONTH(TODAY(), 0))))), "dddd")=C39)),
   "")</f>
        <v/>
      </c>
      <c r="Q39" s="12"/>
      <c r="R39" s="11" t="str">
        <f t="shared" si="4"/>
        <v/>
      </c>
      <c r="U39" s="13"/>
      <c r="Z39" s="13">
        <v>999</v>
      </c>
    </row>
    <row r="40" spans="2:26" ht="18" x14ac:dyDescent="0.35">
      <c r="B40" t="str">
        <f>IF(A40="", "", IF(Q40="", "", IF(Q40=TIME(0,30,0), "Half Hour", IF(Q40=TIME(1,0,0), "Hour", TEXT(Q40*1440, "0") &amp; " Minutes"))))</f>
        <v/>
      </c>
      <c r="D40" s="9" t="str">
        <f t="shared" si="0"/>
        <v/>
      </c>
      <c r="E40" t="str">
        <f t="shared" si="1"/>
        <v/>
      </c>
      <c r="F40" s="9" t="str">
        <f t="shared" si="2"/>
        <v/>
      </c>
      <c r="G40" s="10"/>
      <c r="H40" s="10" t="str">
        <f>IF(A40="","",G40+Q40)</f>
        <v/>
      </c>
      <c r="M40" t="str">
        <f>IF(A40="","",IF(Q40="", "", ROUND(20 * EXP(LN(50/20) * ((HOUR(Q40)*60 + MINUTE(Q40) - 30) / 30)), 2) * R40 * (1 - S40)))</f>
        <v/>
      </c>
      <c r="P40" t="str" cm="1">
        <f t="array" aca="1" ref="P40" ca="1">IF(AND(A40&lt;&gt;"", C40&lt;&gt;""),
   SUMPRODUCT(--(TEXT(DATE(YEAR(TODAY()), MONTH(TODAY()), ROW(INDIRECT("1:" &amp; DAY(EOMONTH(TODAY(), 0))))), "dddd")=C40)),
   "")</f>
        <v/>
      </c>
      <c r="Q40" s="12"/>
      <c r="R40" s="11" t="str">
        <f t="shared" si="4"/>
        <v/>
      </c>
      <c r="U40" s="13"/>
      <c r="Z40" s="13">
        <v>999</v>
      </c>
    </row>
    <row r="41" spans="2:26" ht="18" x14ac:dyDescent="0.35">
      <c r="B41" t="str">
        <f>IF(A41="", "", IF(Q41="", "", IF(Q41=TIME(0,30,0), "Half Hour", IF(Q41=TIME(1,0,0), "Hour", TEXT(Q41*1440, "0") &amp; " Minutes"))))</f>
        <v/>
      </c>
      <c r="D41" s="9" t="str">
        <f t="shared" si="0"/>
        <v/>
      </c>
      <c r="E41" t="str">
        <f t="shared" si="1"/>
        <v/>
      </c>
      <c r="F41" s="9" t="str">
        <f t="shared" si="2"/>
        <v/>
      </c>
      <c r="G41" s="10"/>
      <c r="H41" s="10" t="str">
        <f>IF(A41="","",G41+Q41)</f>
        <v/>
      </c>
      <c r="M41" t="str">
        <f>IF(A41="","",IF(Q41="", "", ROUND(20 * EXP(LN(50/20) * ((HOUR(Q41)*60 + MINUTE(Q41) - 30) / 30)), 2) * R41 * (1 - S41)))</f>
        <v/>
      </c>
      <c r="P41" t="str" cm="1">
        <f t="array" aca="1" ref="P41" ca="1">IF(AND(A41&lt;&gt;"", C41&lt;&gt;""),
   SUMPRODUCT(--(TEXT(DATE(YEAR(TODAY()), MONTH(TODAY()), ROW(INDIRECT("1:" &amp; DAY(EOMONTH(TODAY(), 0))))), "dddd")=C41)),
   "")</f>
        <v/>
      </c>
      <c r="Q41" s="12"/>
      <c r="R41" s="11" t="str">
        <f t="shared" si="4"/>
        <v/>
      </c>
      <c r="U41" s="13"/>
      <c r="Z41" s="13">
        <v>999</v>
      </c>
    </row>
    <row r="42" spans="2:26" ht="18" x14ac:dyDescent="0.35">
      <c r="B42" t="str">
        <f>IF(A42="", "", IF(Q42="", "", IF(Q42=TIME(0,30,0), "Half Hour", IF(Q42=TIME(1,0,0), "Hour", TEXT(Q42*1440, "0") &amp; " Minutes"))))</f>
        <v/>
      </c>
      <c r="D42" s="9" t="str">
        <f t="shared" si="0"/>
        <v/>
      </c>
      <c r="E42" t="str">
        <f t="shared" si="1"/>
        <v/>
      </c>
      <c r="F42" s="9" t="str">
        <f t="shared" si="2"/>
        <v/>
      </c>
      <c r="G42" s="10"/>
      <c r="H42" s="10" t="str">
        <f>IF(A42="","",G42+Q42)</f>
        <v/>
      </c>
      <c r="M42" t="str">
        <f>IF(A42="","",IF(Q42="", "", ROUND(20 * EXP(LN(50/20) * ((HOUR(Q42)*60 + MINUTE(Q42) - 30) / 30)), 2) * R42 * (1 - S42)))</f>
        <v/>
      </c>
      <c r="P42" t="str" cm="1">
        <f t="array" aca="1" ref="P42" ca="1">IF(AND(A42&lt;&gt;"", C42&lt;&gt;""),
   SUMPRODUCT(--(TEXT(DATE(YEAR(TODAY()), MONTH(TODAY()), ROW(INDIRECT("1:" &amp; DAY(EOMONTH(TODAY(), 0))))), "dddd")=C42)),
   "")</f>
        <v/>
      </c>
      <c r="Q42" s="12"/>
      <c r="R42" s="11" t="str">
        <f t="shared" si="4"/>
        <v/>
      </c>
      <c r="U42" s="13"/>
      <c r="Z42" s="13">
        <v>999</v>
      </c>
    </row>
    <row r="43" spans="2:26" ht="18" x14ac:dyDescent="0.35">
      <c r="B43" t="str">
        <f>IF(A43="", "", IF(Q43="", "", IF(Q43=TIME(0,30,0), "Half Hour", IF(Q43=TIME(1,0,0), "Hour", TEXT(Q43*1440, "0") &amp; " Minutes"))))</f>
        <v/>
      </c>
      <c r="D43" s="9" t="str">
        <f t="shared" si="0"/>
        <v/>
      </c>
      <c r="E43" t="str">
        <f t="shared" si="1"/>
        <v/>
      </c>
      <c r="F43" s="9" t="str">
        <f t="shared" si="2"/>
        <v/>
      </c>
      <c r="G43" s="10"/>
      <c r="H43" s="10" t="str">
        <f>IF(A43="","",G43+Q43)</f>
        <v/>
      </c>
      <c r="M43" t="str">
        <f>IF(A43="","",IF(Q43="", "", ROUND(20 * EXP(LN(50/20) * ((HOUR(Q43)*60 + MINUTE(Q43) - 30) / 30)), 2) * R43 * (1 - S43)))</f>
        <v/>
      </c>
      <c r="P43" t="str" cm="1">
        <f t="array" aca="1" ref="P43" ca="1">IF(AND(A43&lt;&gt;"", C43&lt;&gt;""),
   SUMPRODUCT(--(TEXT(DATE(YEAR(TODAY()), MONTH(TODAY()), ROW(INDIRECT("1:" &amp; DAY(EOMONTH(TODAY(), 0))))), "dddd")=C43)),
   "")</f>
        <v/>
      </c>
      <c r="Q43" s="12"/>
      <c r="R43" s="11" t="str">
        <f t="shared" si="4"/>
        <v/>
      </c>
      <c r="U43" s="13"/>
      <c r="Z43" s="13">
        <v>999</v>
      </c>
    </row>
    <row r="44" spans="2:26" ht="18" x14ac:dyDescent="0.35">
      <c r="B44" t="str">
        <f>IF(A44="", "", IF(Q44="", "", IF(Q44=TIME(0,30,0), "Half Hour", IF(Q44=TIME(1,0,0), "Hour", TEXT(Q44*1440, "0") &amp; " Minutes"))))</f>
        <v/>
      </c>
      <c r="D44" s="9" t="str">
        <f t="shared" si="0"/>
        <v/>
      </c>
      <c r="E44" t="str">
        <f t="shared" si="1"/>
        <v/>
      </c>
      <c r="F44" s="9" t="str">
        <f t="shared" si="2"/>
        <v/>
      </c>
      <c r="G44" s="10"/>
      <c r="H44" s="10" t="str">
        <f>IF(A44="","",G44+Q44)</f>
        <v/>
      </c>
      <c r="M44" t="str">
        <f>IF(A44="","",IF(Q44="", "", ROUND(20 * EXP(LN(50/20) * ((HOUR(Q44)*60 + MINUTE(Q44) - 30) / 30)), 2) * R44 * (1 - S44)))</f>
        <v/>
      </c>
      <c r="P44" t="str" cm="1">
        <f t="array" aca="1" ref="P44" ca="1">IF(AND(A44&lt;&gt;"", C44&lt;&gt;""),
   SUMPRODUCT(--(TEXT(DATE(YEAR(TODAY()), MONTH(TODAY()), ROW(INDIRECT("1:" &amp; DAY(EOMONTH(TODAY(), 0))))), "dddd")=C44)),
   "")</f>
        <v/>
      </c>
      <c r="Q44" s="12"/>
      <c r="R44" s="11" t="str">
        <f t="shared" si="4"/>
        <v/>
      </c>
      <c r="U44" s="13"/>
      <c r="Z44" s="13">
        <v>999</v>
      </c>
    </row>
    <row r="45" spans="2:26" ht="18" x14ac:dyDescent="0.35">
      <c r="B45" t="str">
        <f>IF(A45="", "", IF(Q45="", "", IF(Q45=TIME(0,30,0), "Half Hour", IF(Q45=TIME(1,0,0), "Hour", TEXT(Q45*1440, "0") &amp; " Minutes"))))</f>
        <v/>
      </c>
      <c r="D45" s="9" t="str">
        <f t="shared" si="0"/>
        <v/>
      </c>
      <c r="E45" t="str">
        <f t="shared" si="1"/>
        <v/>
      </c>
      <c r="F45" s="9" t="str">
        <f t="shared" si="2"/>
        <v/>
      </c>
      <c r="G45" s="10"/>
      <c r="H45" s="10" t="str">
        <f>IF(A45="","",G45+Q45)</f>
        <v/>
      </c>
      <c r="M45" t="str">
        <f>IF(A45="","",IF(Q45="", "", ROUND(20 * EXP(LN(50/20) * ((HOUR(Q45)*60 + MINUTE(Q45) - 30) / 30)), 2) * R45 * (1 - S45)))</f>
        <v/>
      </c>
      <c r="P45" t="str" cm="1">
        <f t="array" aca="1" ref="P45" ca="1">IF(AND(A45&lt;&gt;"", C45&lt;&gt;""),
   SUMPRODUCT(--(TEXT(DATE(YEAR(TODAY()), MONTH(TODAY()), ROW(INDIRECT("1:" &amp; DAY(EOMONTH(TODAY(), 0))))), "dddd")=C45)),
   "")</f>
        <v/>
      </c>
      <c r="Q45" s="12"/>
      <c r="R45" s="11" t="str">
        <f t="shared" si="4"/>
        <v/>
      </c>
      <c r="U45" s="13"/>
      <c r="Z45" s="13">
        <v>999</v>
      </c>
    </row>
    <row r="46" spans="2:26" ht="18" x14ac:dyDescent="0.35">
      <c r="B46" t="str">
        <f>IF(A46="", "", IF(Q46="", "", IF(Q46=TIME(0,30,0), "Half Hour", IF(Q46=TIME(1,0,0), "Hour", TEXT(Q46*1440, "0") &amp; " Minutes"))))</f>
        <v/>
      </c>
      <c r="D46" s="9" t="str">
        <f t="shared" si="0"/>
        <v/>
      </c>
      <c r="E46" t="str">
        <f t="shared" si="1"/>
        <v/>
      </c>
      <c r="F46" s="9" t="str">
        <f t="shared" si="2"/>
        <v/>
      </c>
      <c r="G46" s="10"/>
      <c r="H46" s="10" t="str">
        <f>IF(A46="","",G46+Q46)</f>
        <v/>
      </c>
      <c r="M46" t="str">
        <f>IF(A46="","",IF(Q46="", "", ROUND(20 * EXP(LN(50/20) * ((HOUR(Q46)*60 + MINUTE(Q46) - 30) / 30)), 2) * R46 * (1 - S46)))</f>
        <v/>
      </c>
      <c r="P46" t="str" cm="1">
        <f t="array" aca="1" ref="P46" ca="1">IF(AND(A46&lt;&gt;"", C46&lt;&gt;""),
   SUMPRODUCT(--(TEXT(DATE(YEAR(TODAY()), MONTH(TODAY()), ROW(INDIRECT("1:" &amp; DAY(EOMONTH(TODAY(), 0))))), "dddd")=C46)),
   "")</f>
        <v/>
      </c>
      <c r="Q46" s="12"/>
      <c r="R46" s="11" t="str">
        <f t="shared" si="4"/>
        <v/>
      </c>
      <c r="U46" s="13"/>
      <c r="Z46" s="13">
        <v>999</v>
      </c>
    </row>
    <row r="47" spans="2:26" ht="18" x14ac:dyDescent="0.35">
      <c r="B47" t="str">
        <f>IF(A47="", "", IF(Q47="", "", IF(Q47=TIME(0,30,0), "Half Hour", IF(Q47=TIME(1,0,0), "Hour", TEXT(Q47*1440, "0") &amp; " Minutes"))))</f>
        <v/>
      </c>
      <c r="D47" s="9" t="str">
        <f t="shared" si="0"/>
        <v/>
      </c>
      <c r="E47" t="str">
        <f t="shared" si="1"/>
        <v/>
      </c>
      <c r="F47" s="9" t="str">
        <f t="shared" si="2"/>
        <v/>
      </c>
      <c r="G47" s="10"/>
      <c r="H47" s="10" t="str">
        <f>IF(A47="","",G47+Q47)</f>
        <v/>
      </c>
      <c r="M47" t="str">
        <f>IF(A47="","",IF(Q47="", "", ROUND(20 * EXP(LN(50/20) * ((HOUR(Q47)*60 + MINUTE(Q47) - 30) / 30)), 2) * R47 * (1 - S47)))</f>
        <v/>
      </c>
      <c r="P47" t="str" cm="1">
        <f t="array" aca="1" ref="P47" ca="1">IF(AND(A47&lt;&gt;"", C47&lt;&gt;""),
   SUMPRODUCT(--(TEXT(DATE(YEAR(TODAY()), MONTH(TODAY()), ROW(INDIRECT("1:" &amp; DAY(EOMONTH(TODAY(), 0))))), "dddd")=C47)),
   "")</f>
        <v/>
      </c>
      <c r="Q47" s="12"/>
      <c r="R47" s="11" t="str">
        <f t="shared" si="4"/>
        <v/>
      </c>
      <c r="U47" s="13"/>
      <c r="Z47" s="13">
        <v>999</v>
      </c>
    </row>
    <row r="48" spans="2:26" ht="18" x14ac:dyDescent="0.35">
      <c r="B48" t="str">
        <f>IF(A48="", "", IF(Q48="", "", IF(Q48=TIME(0,30,0), "Half Hour", IF(Q48=TIME(1,0,0), "Hour", TEXT(Q48*1440, "0") &amp; " Minutes"))))</f>
        <v/>
      </c>
      <c r="D48" s="9" t="str">
        <f t="shared" si="0"/>
        <v/>
      </c>
      <c r="E48" t="str">
        <f t="shared" si="1"/>
        <v/>
      </c>
      <c r="F48" s="9" t="str">
        <f t="shared" si="2"/>
        <v/>
      </c>
      <c r="G48" s="10"/>
      <c r="H48" s="10" t="str">
        <f>IF(A48="","",G48+Q48)</f>
        <v/>
      </c>
      <c r="M48" t="str">
        <f>IF(A48="","",IF(Q48="", "", ROUND(20 * EXP(LN(50/20) * ((HOUR(Q48)*60 + MINUTE(Q48) - 30) / 30)), 2) * R48 * (1 - S48)))</f>
        <v/>
      </c>
      <c r="P48" t="str" cm="1">
        <f t="array" aca="1" ref="P48" ca="1">IF(AND(A48&lt;&gt;"", C48&lt;&gt;""),
   SUMPRODUCT(--(TEXT(DATE(YEAR(TODAY()), MONTH(TODAY()), ROW(INDIRECT("1:" &amp; DAY(EOMONTH(TODAY(), 0))))), "dddd")=C48)),
   "")</f>
        <v/>
      </c>
      <c r="Q48" s="12"/>
      <c r="R48" s="11" t="str">
        <f t="shared" si="4"/>
        <v/>
      </c>
      <c r="U48" s="13"/>
      <c r="Z48" s="13">
        <v>999</v>
      </c>
    </row>
    <row r="49" spans="2:26" ht="18" x14ac:dyDescent="0.35">
      <c r="B49" t="str">
        <f>IF(A49="", "", IF(Q49="", "", IF(Q49=TIME(0,30,0), "Half Hour", IF(Q49=TIME(1,0,0), "Hour", TEXT(Q49*1440, "0") &amp; " Minutes"))))</f>
        <v/>
      </c>
      <c r="D49" s="9" t="str">
        <f t="shared" si="0"/>
        <v/>
      </c>
      <c r="E49" t="str">
        <f t="shared" si="1"/>
        <v/>
      </c>
      <c r="F49" s="9" t="str">
        <f t="shared" si="2"/>
        <v/>
      </c>
      <c r="G49" s="10"/>
      <c r="H49" s="10" t="str">
        <f>IF(A49="","",G49+Q49)</f>
        <v/>
      </c>
      <c r="M49" t="str">
        <f>IF(A49="","",IF(Q49="", "", ROUND(20 * EXP(LN(50/20) * ((HOUR(Q49)*60 + MINUTE(Q49) - 30) / 30)), 2) * R49 * (1 - S49)))</f>
        <v/>
      </c>
      <c r="P49" t="str" cm="1">
        <f t="array" aca="1" ref="P49" ca="1">IF(AND(A49&lt;&gt;"", C49&lt;&gt;""),
   SUMPRODUCT(--(TEXT(DATE(YEAR(TODAY()), MONTH(TODAY()), ROW(INDIRECT("1:" &amp; DAY(EOMONTH(TODAY(), 0))))), "dddd")=C49)),
   "")</f>
        <v/>
      </c>
      <c r="Q49" s="12"/>
      <c r="R49" s="11" t="str">
        <f t="shared" si="4"/>
        <v/>
      </c>
      <c r="U49" s="13"/>
      <c r="Z49" s="13">
        <v>999</v>
      </c>
    </row>
    <row r="50" spans="2:26" ht="18" x14ac:dyDescent="0.35">
      <c r="B50" t="str">
        <f>IF(A50="", "", IF(Q50="", "", IF(Q50=TIME(0,30,0), "Half Hour", IF(Q50=TIME(1,0,0), "Hour", TEXT(Q50*1440, "0") &amp; " Minutes"))))</f>
        <v/>
      </c>
      <c r="D50" s="9" t="str">
        <f t="shared" si="0"/>
        <v/>
      </c>
      <c r="E50" t="str">
        <f t="shared" si="1"/>
        <v/>
      </c>
      <c r="F50" s="9" t="str">
        <f t="shared" si="2"/>
        <v/>
      </c>
      <c r="G50" s="10"/>
      <c r="H50" s="10" t="str">
        <f>IF(A50="","",G50+Q50)</f>
        <v/>
      </c>
      <c r="M50" t="str">
        <f>IF(A50="","",IF(Q50="", "", ROUND(20 * EXP(LN(50/20) * ((HOUR(Q50)*60 + MINUTE(Q50) - 30) / 30)), 2) * R50 * (1 - S50)))</f>
        <v/>
      </c>
      <c r="P50" t="str" cm="1">
        <f t="array" aca="1" ref="P50" ca="1">IF(AND(A50&lt;&gt;"", C50&lt;&gt;""),
   SUMPRODUCT(--(TEXT(DATE(YEAR(TODAY()), MONTH(TODAY()), ROW(INDIRECT("1:" &amp; DAY(EOMONTH(TODAY(), 0))))), "dddd")=C50)),
   "")</f>
        <v/>
      </c>
      <c r="Q50" s="12"/>
      <c r="R50" s="11" t="str">
        <f t="shared" si="4"/>
        <v/>
      </c>
      <c r="U50" s="13"/>
      <c r="Z50" s="13">
        <v>999</v>
      </c>
    </row>
    <row r="51" spans="2:26" ht="18" x14ac:dyDescent="0.35">
      <c r="B51" t="str">
        <f>IF(A51="", "", IF(Q51="", "", IF(Q51=TIME(0,30,0), "Half Hour", IF(Q51=TIME(1,0,0), "Hour", TEXT(Q51*1440, "0") &amp; " Minutes"))))</f>
        <v/>
      </c>
      <c r="D51" s="9" t="str">
        <f t="shared" si="0"/>
        <v/>
      </c>
      <c r="E51" t="str">
        <f t="shared" si="1"/>
        <v/>
      </c>
      <c r="F51" s="9" t="str">
        <f t="shared" si="2"/>
        <v/>
      </c>
      <c r="G51" s="10"/>
      <c r="H51" s="10" t="str">
        <f>IF(A51="","",G51+Q51)</f>
        <v/>
      </c>
      <c r="M51" t="str">
        <f>IF(A51="","",IF(Q51="", "", ROUND(20 * EXP(LN(50/20) * ((HOUR(Q51)*60 + MINUTE(Q51) - 30) / 30)), 2) * R51 * (1 - S51)))</f>
        <v/>
      </c>
      <c r="P51" t="str" cm="1">
        <f t="array" aca="1" ref="P51" ca="1">IF(AND(A51&lt;&gt;"", C51&lt;&gt;""),
   SUMPRODUCT(--(TEXT(DATE(YEAR(TODAY()), MONTH(TODAY()), ROW(INDIRECT("1:" &amp; DAY(EOMONTH(TODAY(), 0))))), "dddd")=C51)),
   "")</f>
        <v/>
      </c>
      <c r="Q51" s="12"/>
      <c r="R51" s="11" t="str">
        <f t="shared" si="4"/>
        <v/>
      </c>
      <c r="U51" s="13"/>
      <c r="Z51" s="13">
        <v>999</v>
      </c>
    </row>
    <row r="52" spans="2:26" ht="18" x14ac:dyDescent="0.35">
      <c r="B52" t="str">
        <f>IF(A52="", "", IF(Q52="", "", IF(Q52=TIME(0,30,0), "Half Hour", IF(Q52=TIME(1,0,0), "Hour", TEXT(Q52*1440, "0") &amp; " Minutes"))))</f>
        <v/>
      </c>
      <c r="D52" s="9" t="str">
        <f t="shared" si="0"/>
        <v/>
      </c>
      <c r="E52" t="str">
        <f t="shared" si="1"/>
        <v/>
      </c>
      <c r="F52" s="9" t="str">
        <f t="shared" si="2"/>
        <v/>
      </c>
      <c r="G52" s="10"/>
      <c r="H52" s="10" t="str">
        <f>IF(A52="","",G52+Q52)</f>
        <v/>
      </c>
      <c r="M52" t="str">
        <f>IF(A52="","",IF(Q52="", "", ROUND(20 * EXP(LN(50/20) * ((HOUR(Q52)*60 + MINUTE(Q52) - 30) / 30)), 2) * R52 * (1 - S52)))</f>
        <v/>
      </c>
      <c r="P52" t="str" cm="1">
        <f t="array" aca="1" ref="P52" ca="1">IF(AND(A52&lt;&gt;"", C52&lt;&gt;""),
   SUMPRODUCT(--(TEXT(DATE(YEAR(TODAY()), MONTH(TODAY()), ROW(INDIRECT("1:" &amp; DAY(EOMONTH(TODAY(), 0))))), "dddd")=C52)),
   "")</f>
        <v/>
      </c>
      <c r="Q52" s="12"/>
      <c r="R52" s="11" t="str">
        <f t="shared" si="4"/>
        <v/>
      </c>
      <c r="U52" s="13"/>
      <c r="Z52" s="13">
        <v>999</v>
      </c>
    </row>
    <row r="53" spans="2:26" ht="18" x14ac:dyDescent="0.35">
      <c r="B53" t="str">
        <f>IF(A53="", "", IF(Q53="", "", IF(Q53=TIME(0,30,0), "Half Hour", IF(Q53=TIME(1,0,0), "Hour", TEXT(Q53*1440, "0") &amp; " Minutes"))))</f>
        <v/>
      </c>
      <c r="D53" s="9" t="str">
        <f t="shared" si="0"/>
        <v/>
      </c>
      <c r="E53" t="str">
        <f t="shared" si="1"/>
        <v/>
      </c>
      <c r="F53" s="9" t="str">
        <f t="shared" si="2"/>
        <v/>
      </c>
      <c r="G53" s="10"/>
      <c r="H53" s="10" t="str">
        <f>IF(A53="","",G53+Q53)</f>
        <v/>
      </c>
      <c r="M53" t="str">
        <f>IF(A53="","",IF(Q53="", "", ROUND(20 * EXP(LN(50/20) * ((HOUR(Q53)*60 + MINUTE(Q53) - 30) / 30)), 2) * R53 * (1 - S53)))</f>
        <v/>
      </c>
      <c r="P53" t="str" cm="1">
        <f t="array" aca="1" ref="P53" ca="1">IF(AND(A53&lt;&gt;"", C53&lt;&gt;""),
   SUMPRODUCT(--(TEXT(DATE(YEAR(TODAY()), MONTH(TODAY()), ROW(INDIRECT("1:" &amp; DAY(EOMONTH(TODAY(), 0))))), "dddd")=C53)),
   "")</f>
        <v/>
      </c>
      <c r="Q53" s="12"/>
      <c r="R53" s="11" t="str">
        <f t="shared" si="4"/>
        <v/>
      </c>
      <c r="U53" s="13"/>
      <c r="Z53" s="13">
        <v>999</v>
      </c>
    </row>
    <row r="54" spans="2:26" ht="18" x14ac:dyDescent="0.35">
      <c r="B54" t="str">
        <f>IF(A54="", "", IF(Q54="", "", IF(Q54=TIME(0,30,0), "Half Hour", IF(Q54=TIME(1,0,0), "Hour", TEXT(Q54*1440, "0") &amp; " Minutes"))))</f>
        <v/>
      </c>
      <c r="D54" s="9" t="str">
        <f t="shared" si="0"/>
        <v/>
      </c>
      <c r="E54" t="str">
        <f t="shared" si="1"/>
        <v/>
      </c>
      <c r="F54" s="9" t="str">
        <f t="shared" si="2"/>
        <v/>
      </c>
      <c r="G54" s="10"/>
      <c r="H54" s="10" t="str">
        <f>IF(A54="","",G54+Q54)</f>
        <v/>
      </c>
      <c r="M54" t="str">
        <f>IF(A54="","",IF(Q54="", "", ROUND(20 * EXP(LN(50/20) * ((HOUR(Q54)*60 + MINUTE(Q54) - 30) / 30)), 2) * R54 * (1 - S54)))</f>
        <v/>
      </c>
      <c r="P54" t="str" cm="1">
        <f t="array" aca="1" ref="P54" ca="1">IF(AND(A54&lt;&gt;"", C54&lt;&gt;""),
   SUMPRODUCT(--(TEXT(DATE(YEAR(TODAY()), MONTH(TODAY()), ROW(INDIRECT("1:" &amp; DAY(EOMONTH(TODAY(), 0))))), "dddd")=C54)),
   "")</f>
        <v/>
      </c>
      <c r="Q54" s="12"/>
      <c r="R54" s="11" t="str">
        <f t="shared" si="4"/>
        <v/>
      </c>
      <c r="U54" s="13"/>
      <c r="Z54" s="13">
        <v>999</v>
      </c>
    </row>
    <row r="55" spans="2:26" ht="18" x14ac:dyDescent="0.35">
      <c r="B55" t="str">
        <f>IF(A55="", "", IF(Q55="", "", IF(Q55=TIME(0,30,0), "Half Hour", IF(Q55=TIME(1,0,0), "Hour", TEXT(Q55*1440, "0") &amp; " Minutes"))))</f>
        <v/>
      </c>
      <c r="D55" s="9" t="str">
        <f t="shared" si="0"/>
        <v/>
      </c>
      <c r="E55" t="str">
        <f t="shared" si="1"/>
        <v/>
      </c>
      <c r="F55" s="9" t="str">
        <f t="shared" si="2"/>
        <v/>
      </c>
      <c r="G55" s="10"/>
      <c r="H55" s="10" t="str">
        <f>IF(A55="","",G55+Q55)</f>
        <v/>
      </c>
      <c r="M55" t="str">
        <f>IF(A55="","",IF(Q55="", "", ROUND(20 * EXP(LN(50/20) * ((HOUR(Q55)*60 + MINUTE(Q55) - 30) / 30)), 2) * R55 * (1 - S55)))</f>
        <v/>
      </c>
      <c r="P55" t="str" cm="1">
        <f t="array" aca="1" ref="P55" ca="1">IF(AND(A55&lt;&gt;"", C55&lt;&gt;""),
   SUMPRODUCT(--(TEXT(DATE(YEAR(TODAY()), MONTH(TODAY()), ROW(INDIRECT("1:" &amp; DAY(EOMONTH(TODAY(), 0))))), "dddd")=C55)),
   "")</f>
        <v/>
      </c>
      <c r="Q55" s="12"/>
      <c r="R55" s="11" t="str">
        <f t="shared" si="4"/>
        <v/>
      </c>
      <c r="U55" s="13"/>
      <c r="Z55" s="13">
        <v>999</v>
      </c>
    </row>
    <row r="56" spans="2:26" ht="18" x14ac:dyDescent="0.35">
      <c r="B56" t="str">
        <f>IF(A56="", "", IF(Q56="", "", IF(Q56=TIME(0,30,0), "Half Hour", IF(Q56=TIME(1,0,0), "Hour", TEXT(Q56*1440, "0") &amp; " Minutes"))))</f>
        <v/>
      </c>
      <c r="D56" s="9" t="str">
        <f t="shared" si="0"/>
        <v/>
      </c>
      <c r="E56" t="str">
        <f t="shared" si="1"/>
        <v/>
      </c>
      <c r="F56" s="9" t="str">
        <f t="shared" si="2"/>
        <v/>
      </c>
      <c r="G56" s="10"/>
      <c r="H56" s="10" t="str">
        <f>IF(A56="","",G56+Q56)</f>
        <v/>
      </c>
      <c r="M56" t="str">
        <f>IF(A56="","",IF(Q56="", "", ROUND(20 * EXP(LN(50/20) * ((HOUR(Q56)*60 + MINUTE(Q56) - 30) / 30)), 2) * R56 * (1 - S56)))</f>
        <v/>
      </c>
      <c r="P56" t="str" cm="1">
        <f t="array" aca="1" ref="P56" ca="1">IF(AND(A56&lt;&gt;"", C56&lt;&gt;""),
   SUMPRODUCT(--(TEXT(DATE(YEAR(TODAY()), MONTH(TODAY()), ROW(INDIRECT("1:" &amp; DAY(EOMONTH(TODAY(), 0))))), "dddd")=C56)),
   "")</f>
        <v/>
      </c>
      <c r="Q56" s="12"/>
      <c r="R56" s="11" t="str">
        <f t="shared" si="4"/>
        <v/>
      </c>
      <c r="U56" s="13"/>
      <c r="Z56" s="13">
        <v>999</v>
      </c>
    </row>
    <row r="57" spans="2:26" ht="18" x14ac:dyDescent="0.35">
      <c r="B57" t="str">
        <f>IF(A57="", "", IF(Q57="", "", IF(Q57=TIME(0,30,0), "Half Hour", IF(Q57=TIME(1,0,0), "Hour", TEXT(Q57*1440, "0") &amp; " Minutes"))))</f>
        <v/>
      </c>
      <c r="D57" s="9" t="str">
        <f t="shared" si="0"/>
        <v/>
      </c>
      <c r="E57" t="str">
        <f t="shared" si="1"/>
        <v/>
      </c>
      <c r="F57" s="9" t="str">
        <f t="shared" si="2"/>
        <v/>
      </c>
      <c r="G57" s="10"/>
      <c r="H57" s="10" t="str">
        <f>IF(A57="","",G57+Q57)</f>
        <v/>
      </c>
      <c r="M57" t="str">
        <f>IF(A57="","",IF(Q57="", "", ROUND(20 * EXP(LN(50/20) * ((HOUR(Q57)*60 + MINUTE(Q57) - 30) / 30)), 2) * R57 * (1 - S57)))</f>
        <v/>
      </c>
      <c r="P57" t="str" cm="1">
        <f t="array" aca="1" ref="P57" ca="1">IF(AND(A57&lt;&gt;"", C57&lt;&gt;""),
   SUMPRODUCT(--(TEXT(DATE(YEAR(TODAY()), MONTH(TODAY()), ROW(INDIRECT("1:" &amp; DAY(EOMONTH(TODAY(), 0))))), "dddd")=C57)),
   "")</f>
        <v/>
      </c>
      <c r="Q57" s="12"/>
      <c r="R57" s="11" t="str">
        <f t="shared" si="4"/>
        <v/>
      </c>
      <c r="U57" s="13"/>
      <c r="Z57" s="13">
        <v>1000</v>
      </c>
    </row>
    <row r="58" spans="2:26" ht="18" x14ac:dyDescent="0.35">
      <c r="B58" t="str">
        <f>IF(A58="", "", IF(Q58="", "", IF(Q58=TIME(0,30,0), "Half Hour", IF(Q58=TIME(1,0,0), "Hour", TEXT(Q58*1440, "0") &amp; " Minutes"))))</f>
        <v/>
      </c>
      <c r="D58" s="9" t="str">
        <f t="shared" si="0"/>
        <v/>
      </c>
      <c r="E58" t="str">
        <f t="shared" si="1"/>
        <v/>
      </c>
      <c r="F58" s="9" t="str">
        <f t="shared" si="2"/>
        <v/>
      </c>
      <c r="G58" s="10"/>
      <c r="H58" s="10" t="str">
        <f>IF(A58="","",G58+Q58)</f>
        <v/>
      </c>
      <c r="M58" t="str">
        <f>IF(A58="","",IF(Q58="", "", ROUND(20 * EXP(LN(50/20) * ((HOUR(Q58)*60 + MINUTE(Q58) - 30) / 30)), 2) * R58 * (1 - S58)))</f>
        <v/>
      </c>
      <c r="P58" t="str" cm="1">
        <f t="array" aca="1" ref="P58" ca="1">IF(AND(A58&lt;&gt;"", C58&lt;&gt;""),
   SUMPRODUCT(--(TEXT(DATE(YEAR(TODAY()), MONTH(TODAY()), ROW(INDIRECT("1:" &amp; DAY(EOMONTH(TODAY(), 0))))), "dddd")=C58)),
   "")</f>
        <v/>
      </c>
      <c r="Q58" s="12"/>
      <c r="R58" s="11" t="str">
        <f t="shared" ref="R58:R59" si="5">IF(A58="", "", IFERROR(VALUE(MID(A58,FIND("(",A58)+1,FIND(")",A58)-FIND("(",A58)-1)), 1))</f>
        <v/>
      </c>
      <c r="U58" s="13"/>
    </row>
    <row r="59" spans="2:26" ht="18" x14ac:dyDescent="0.35">
      <c r="B59" t="str">
        <f>IF(A59="", "", IF(Q59="", "", IF(Q59=TIME(0,30,0), "Half Hour", IF(Q59=TIME(1,0,0), "Hour", TEXT(Q59*1440, "0") &amp; " Minutes"))))</f>
        <v/>
      </c>
      <c r="D59" s="9" t="str">
        <f t="shared" si="0"/>
        <v/>
      </c>
      <c r="E59" t="str">
        <f t="shared" si="1"/>
        <v/>
      </c>
      <c r="F59" s="9" t="str">
        <f t="shared" si="2"/>
        <v/>
      </c>
      <c r="G59" s="10"/>
      <c r="H59" s="10" t="str">
        <f>IF(A59="","",G59+Q59)</f>
        <v/>
      </c>
      <c r="M59" t="str">
        <f>IF(A59="","",IF(Q59="", "", ROUND(20 * EXP(LN(50/20) * ((HOUR(Q59)*60 + MINUTE(Q59) - 30) / 30)), 2) * R59 * (1 - S59)))</f>
        <v/>
      </c>
      <c r="P59" t="str" cm="1">
        <f t="array" aca="1" ref="P59" ca="1">IF(AND(A59&lt;&gt;"", C59&lt;&gt;""),
   SUMPRODUCT(--(TEXT(DATE(YEAR(TODAY()), MONTH(TODAY()), ROW(INDIRECT("1:" &amp; DAY(EOMONTH(TODAY(), 0))))), "dddd")=C59)),
   "")</f>
        <v/>
      </c>
      <c r="Q59" s="12"/>
      <c r="R59" s="11" t="str">
        <f t="shared" si="5"/>
        <v/>
      </c>
      <c r="U59" s="13"/>
    </row>
    <row r="60" spans="2:26" ht="18" x14ac:dyDescent="0.35">
      <c r="B60" t="str">
        <f>IF(A60="", "", IF(Q60="", "", IF(Q60=TIME(0,30,0), "Half Hour", IF(Q60=TIME(1,0,0), "Hour", TEXT(Q60*1440, "0") &amp; " Minutes"))))</f>
        <v/>
      </c>
      <c r="D60" s="9" t="str">
        <f t="shared" si="0"/>
        <v/>
      </c>
      <c r="E60" t="str">
        <f t="shared" si="1"/>
        <v/>
      </c>
      <c r="F60" s="9" t="str">
        <f t="shared" si="2"/>
        <v/>
      </c>
      <c r="G60" s="10"/>
      <c r="H60" s="10" t="str">
        <f>IF(A60="","",G60+Q60)</f>
        <v/>
      </c>
      <c r="M60" t="str">
        <f>IF(A60="","",IF(Q60="", "", ROUND(20 * EXP(LN(50/20) * ((HOUR(Q60)*60 + MINUTE(Q60) - 30) / 30)), 2) * R60 * (1 - S60)))</f>
        <v/>
      </c>
      <c r="P60" t="str" cm="1">
        <f t="array" aca="1" ref="P60" ca="1">IF(AND(A60&lt;&gt;"", C60&lt;&gt;""),
   SUMPRODUCT(--(TEXT(DATE(YEAR(TODAY()), MONTH(TODAY()), ROW(INDIRECT("1:" &amp; DAY(EOMONTH(TODAY(), 0))))), "dddd")=C60)),
   "")</f>
        <v/>
      </c>
      <c r="Q60" s="12"/>
      <c r="R60" s="11" t="str">
        <f t="shared" ref="R60:R64" si="6">IF(A60="", "", IFERROR(VALUE(MID(A60,FIND("(",A60)+1,FIND(")",A60)-FIND("(",A60)-1)), 1))</f>
        <v/>
      </c>
      <c r="U60" s="13"/>
    </row>
    <row r="61" spans="2:26" ht="18" x14ac:dyDescent="0.35">
      <c r="B61" t="str">
        <f>IF(A61="", "", IF(Q61="", "", IF(Q61=TIME(0,30,0), "Half Hour", IF(Q61=TIME(1,0,0), "Hour", TEXT(Q61*1440, "0") &amp; " Minutes"))))</f>
        <v/>
      </c>
      <c r="D61" s="9" t="str">
        <f t="shared" si="0"/>
        <v/>
      </c>
      <c r="E61" t="str">
        <f t="shared" si="1"/>
        <v/>
      </c>
      <c r="F61" s="9" t="str">
        <f t="shared" si="2"/>
        <v/>
      </c>
      <c r="G61" s="10"/>
      <c r="H61" s="10" t="str">
        <f>IF(A61="","",G61+Q61)</f>
        <v/>
      </c>
      <c r="M61" t="str">
        <f>IF(A61="","",IF(Q61="", "", ROUND(20 * EXP(LN(50/20) * ((HOUR(Q61)*60 + MINUTE(Q61) - 30) / 30)), 2) * R61 * (1 - S61)))</f>
        <v/>
      </c>
      <c r="P61" t="str" cm="1">
        <f t="array" aca="1" ref="P61" ca="1">IF(AND(A61&lt;&gt;"", C61&lt;&gt;""),
   SUMPRODUCT(--(TEXT(DATE(YEAR(TODAY()), MONTH(TODAY()), ROW(INDIRECT("1:" &amp; DAY(EOMONTH(TODAY(), 0))))), "dddd")=C61)),
   "")</f>
        <v/>
      </c>
      <c r="Q61" s="12"/>
      <c r="R61" s="11" t="str">
        <f t="shared" si="6"/>
        <v/>
      </c>
      <c r="U61" s="13"/>
    </row>
    <row r="62" spans="2:26" ht="18" x14ac:dyDescent="0.35">
      <c r="B62" t="str">
        <f>IF(A62="", "", IF(Q62="", "", IF(Q62=TIME(0,30,0), "Half Hour", IF(Q62=TIME(1,0,0), "Hour", TEXT(Q62*1440, "0") &amp; " Minutes"))))</f>
        <v/>
      </c>
      <c r="D62" s="9" t="str">
        <f t="shared" si="0"/>
        <v/>
      </c>
      <c r="E62" t="str">
        <f t="shared" si="1"/>
        <v/>
      </c>
      <c r="F62" s="9" t="str">
        <f t="shared" si="2"/>
        <v/>
      </c>
      <c r="G62" s="10"/>
      <c r="H62" s="10" t="str">
        <f>IF(A62="","",G62+Q62)</f>
        <v/>
      </c>
      <c r="M62" t="str">
        <f>IF(A62="","",IF(Q62="", "", ROUND(20 * EXP(LN(50/20) * ((HOUR(Q62)*60 + MINUTE(Q62) - 30) / 30)), 2) * R62 * (1 - S62)))</f>
        <v/>
      </c>
      <c r="P62" t="str" cm="1">
        <f t="array" aca="1" ref="P62" ca="1">IF(AND(A62&lt;&gt;"", C62&lt;&gt;""),
   SUMPRODUCT(--(TEXT(DATE(YEAR(TODAY()), MONTH(TODAY()), ROW(INDIRECT("1:" &amp; DAY(EOMONTH(TODAY(), 0))))), "dddd")=C62)),
   "")</f>
        <v/>
      </c>
      <c r="Q62" s="12"/>
      <c r="R62" s="11" t="str">
        <f t="shared" si="6"/>
        <v/>
      </c>
      <c r="U62" s="13"/>
    </row>
    <row r="63" spans="2:26" ht="18" x14ac:dyDescent="0.35">
      <c r="B63" t="str">
        <f>IF(A63="", "", IF(Q63="", "", IF(Q63=TIME(0,30,0), "Half Hour", IF(Q63=TIME(1,0,0), "Hour", TEXT(Q63*1440, "0") &amp; " Minutes"))))</f>
        <v/>
      </c>
      <c r="D63" s="9" t="str">
        <f t="shared" si="0"/>
        <v/>
      </c>
      <c r="E63" t="str">
        <f t="shared" si="1"/>
        <v/>
      </c>
      <c r="F63" s="9" t="str">
        <f t="shared" si="2"/>
        <v/>
      </c>
      <c r="G63" s="10"/>
      <c r="H63" s="10" t="str">
        <f>IF(A63="","",G63+Q63)</f>
        <v/>
      </c>
      <c r="M63" t="str">
        <f>IF(A63="","",IF(Q63="", "", ROUND(20 * EXP(LN(50/20) * ((HOUR(Q63)*60 + MINUTE(Q63) - 30) / 30)), 2) * R63 * (1 - S63)))</f>
        <v/>
      </c>
      <c r="P63" t="str" cm="1">
        <f t="array" aca="1" ref="P63" ca="1">IF(AND(A63&lt;&gt;"", C63&lt;&gt;""),
   SUMPRODUCT(--(TEXT(DATE(YEAR(TODAY()), MONTH(TODAY()), ROW(INDIRECT("1:" &amp; DAY(EOMONTH(TODAY(), 0))))), "dddd")=C63)),
   "")</f>
        <v/>
      </c>
      <c r="Q63" s="12"/>
      <c r="R63" s="11" t="str">
        <f t="shared" si="6"/>
        <v/>
      </c>
      <c r="U63" s="13"/>
    </row>
    <row r="64" spans="2:26" ht="18" x14ac:dyDescent="0.35">
      <c r="B64" t="str">
        <f>IF(A64="", "", IF(Q64="", "", IF(Q64=TIME(0,30,0), "Half Hour", IF(Q64=TIME(1,0,0), "Hour", TEXT(Q64*1440, "0") &amp; " Minutes"))))</f>
        <v/>
      </c>
      <c r="D64" s="9" t="str">
        <f t="shared" si="0"/>
        <v/>
      </c>
      <c r="E64" t="str">
        <f t="shared" si="1"/>
        <v/>
      </c>
      <c r="F64" s="9" t="str">
        <f t="shared" si="2"/>
        <v/>
      </c>
      <c r="G64" s="10"/>
      <c r="H64" s="10" t="str">
        <f>IF(A64="","",G64+Q64)</f>
        <v/>
      </c>
      <c r="M64" t="str">
        <f>IF(A64="","",IF(Q64="", "", ROUND(20 * EXP(LN(50/20) * ((HOUR(Q64)*60 + MINUTE(Q64) - 30) / 30)), 2) * R64 * (1 - S64)))</f>
        <v/>
      </c>
      <c r="P64" t="str" cm="1">
        <f t="array" aca="1" ref="P64" ca="1">IF(AND(A64&lt;&gt;"", C64&lt;&gt;""),
   SUMPRODUCT(--(TEXT(DATE(YEAR(TODAY()), MONTH(TODAY()), ROW(INDIRECT("1:" &amp; DAY(EOMONTH(TODAY(), 0))))), "dddd")=C64)),
   "")</f>
        <v/>
      </c>
      <c r="Q64" s="12"/>
      <c r="R64" s="11" t="str">
        <f t="shared" si="6"/>
        <v/>
      </c>
      <c r="U64" s="13"/>
    </row>
    <row r="65" spans="2:21" ht="18" x14ac:dyDescent="0.35">
      <c r="B65" t="str">
        <f>IF(A65="", "", IF(Q65="", "", IF(Q65=TIME(0,30,0), "Half Hour", IF(Q65=TIME(1,0,0), "Hour", TEXT(Q65*1440, "0") &amp; " Minutes"))))</f>
        <v/>
      </c>
      <c r="D65" s="9" t="str">
        <f t="shared" si="0"/>
        <v/>
      </c>
      <c r="E65" t="str">
        <f t="shared" si="1"/>
        <v/>
      </c>
      <c r="F65" s="9" t="str">
        <f t="shared" si="2"/>
        <v/>
      </c>
      <c r="G65" s="10"/>
      <c r="H65" s="10" t="str">
        <f>IF(A65="","",G65+Q65)</f>
        <v/>
      </c>
      <c r="M65" t="str">
        <f>IF(A65="","",IF(Q65="", "", ROUND(20 * EXP(LN(50/20) * ((HOUR(Q65)*60 + MINUTE(Q65) - 30) / 30)), 2) * R65 * (1 - S65)))</f>
        <v/>
      </c>
      <c r="P65" t="str" cm="1">
        <f t="array" aca="1" ref="P65" ca="1">IF(AND(A65&lt;&gt;"", C65&lt;&gt;""),
   SUMPRODUCT(--(TEXT(DATE(YEAR(TODAY()), MONTH(TODAY()), ROW(INDIRECT("1:" &amp; DAY(EOMONTH(TODAY(), 0))))), "dddd")=C65)),
   "")</f>
        <v/>
      </c>
      <c r="Q65" s="12"/>
      <c r="R65" s="11" t="str">
        <f t="shared" ref="R65:R128" si="7">IF(A65="", "", IFERROR(VALUE(MID(A65,FIND("(",A65)+1,FIND(")",A65)-FIND("(",A65)-1)), 1))</f>
        <v/>
      </c>
      <c r="U65" s="13"/>
    </row>
    <row r="66" spans="2:21" ht="18" x14ac:dyDescent="0.35">
      <c r="B66" t="str">
        <f>IF(A66="", "", IF(Q66="", "", IF(Q66=TIME(0,30,0), "Half Hour", IF(Q66=TIME(1,0,0), "Hour", TEXT(Q66*1440, "0") &amp; " Minutes"))))</f>
        <v/>
      </c>
      <c r="D66" s="9" t="str">
        <f t="shared" si="0"/>
        <v/>
      </c>
      <c r="E66" t="str">
        <f t="shared" si="1"/>
        <v/>
      </c>
      <c r="F66" s="9" t="str">
        <f t="shared" si="2"/>
        <v/>
      </c>
      <c r="G66" s="10"/>
      <c r="H66" s="10" t="str">
        <f>IF(A66="","",G66+Q66)</f>
        <v/>
      </c>
      <c r="M66" t="str">
        <f>IF(A66="","",IF(Q66="", "", ROUND(20 * EXP(LN(50/20) * ((HOUR(Q66)*60 + MINUTE(Q66) - 30) / 30)), 2) * R66 * (1 - S66)))</f>
        <v/>
      </c>
      <c r="P66" t="str" cm="1">
        <f t="array" aca="1" ref="P66" ca="1">IF(AND(A66&lt;&gt;"", C66&lt;&gt;""),
   SUMPRODUCT(--(TEXT(DATE(YEAR(TODAY()), MONTH(TODAY()), ROW(INDIRECT("1:" &amp; DAY(EOMONTH(TODAY(), 0))))), "dddd")=C66)),
   "")</f>
        <v/>
      </c>
      <c r="Q66" s="12"/>
      <c r="R66" s="11" t="str">
        <f t="shared" si="7"/>
        <v/>
      </c>
      <c r="U66" s="13"/>
    </row>
    <row r="67" spans="2:21" ht="18" x14ac:dyDescent="0.35">
      <c r="B67" t="str">
        <f>IF(A67="", "", IF(Q67="", "", IF(Q67=TIME(0,30,0), "Half Hour", IF(Q67=TIME(1,0,0), "Hour", TEXT(Q67*1440, "0") &amp; " Minutes"))))</f>
        <v/>
      </c>
      <c r="D67" s="9" t="str">
        <f t="shared" ref="D67:D130" si="8">IF(A67="","",F67-IF(E67="",0,E67))</f>
        <v/>
      </c>
      <c r="E67" t="str">
        <f t="shared" ref="E67:E130" si="9">IF(A67="","",IF(L67="No","",1.5*O67))</f>
        <v/>
      </c>
      <c r="F67" s="9" t="str">
        <f t="shared" ref="F67:F130" si="10">IF(A67="","",M67*P67)</f>
        <v/>
      </c>
      <c r="G67" s="10"/>
      <c r="H67" s="10" t="str">
        <f>IF(A67="","",G67+Q67)</f>
        <v/>
      </c>
      <c r="M67" t="str">
        <f>IF(A67="","",IF(Q67="", "", ROUND(20 * EXP(LN(50/20) * ((HOUR(Q67)*60 + MINUTE(Q67) - 30) / 30)), 2) * R67 * (1 - S67)))</f>
        <v/>
      </c>
      <c r="P67" t="str" cm="1">
        <f t="array" aca="1" ref="P67" ca="1">IF(AND(A67&lt;&gt;"", C67&lt;&gt;""),
   SUMPRODUCT(--(TEXT(DATE(YEAR(TODAY()), MONTH(TODAY()), ROW(INDIRECT("1:" &amp; DAY(EOMONTH(TODAY(), 0))))), "dddd")=C67)),
   "")</f>
        <v/>
      </c>
      <c r="Q67" s="12"/>
      <c r="R67" s="11" t="str">
        <f t="shared" si="7"/>
        <v/>
      </c>
      <c r="U67" s="13"/>
    </row>
    <row r="68" spans="2:21" ht="18" x14ac:dyDescent="0.35">
      <c r="B68" t="str">
        <f>IF(A68="", "", IF(Q68="", "", IF(Q68=TIME(0,30,0), "Half Hour", IF(Q68=TIME(1,0,0), "Hour", TEXT(Q68*1440, "0") &amp; " Minutes"))))</f>
        <v/>
      </c>
      <c r="D68" s="9" t="str">
        <f t="shared" si="8"/>
        <v/>
      </c>
      <c r="E68" t="str">
        <f t="shared" si="9"/>
        <v/>
      </c>
      <c r="F68" s="9" t="str">
        <f t="shared" si="10"/>
        <v/>
      </c>
      <c r="G68" s="10"/>
      <c r="H68" s="10" t="str">
        <f>IF(A68="","",G68+Q68)</f>
        <v/>
      </c>
      <c r="M68" t="str">
        <f>IF(A68="","",IF(Q68="", "", ROUND(20 * EXP(LN(50/20) * ((HOUR(Q68)*60 + MINUTE(Q68) - 30) / 30)), 2) * R68 * (1 - S68)))</f>
        <v/>
      </c>
      <c r="P68" t="str" cm="1">
        <f t="array" aca="1" ref="P68" ca="1">IF(AND(A68&lt;&gt;"", C68&lt;&gt;""),
   SUMPRODUCT(--(TEXT(DATE(YEAR(TODAY()), MONTH(TODAY()), ROW(INDIRECT("1:" &amp; DAY(EOMONTH(TODAY(), 0))))), "dddd")=C68)),
   "")</f>
        <v/>
      </c>
      <c r="Q68" s="12"/>
      <c r="R68" s="11" t="str">
        <f t="shared" si="7"/>
        <v/>
      </c>
      <c r="U68" s="13"/>
    </row>
    <row r="69" spans="2:21" ht="18" x14ac:dyDescent="0.35">
      <c r="B69" t="str">
        <f>IF(A69="", "", IF(Q69="", "", IF(Q69=TIME(0,30,0), "Half Hour", IF(Q69=TIME(1,0,0), "Hour", TEXT(Q69*1440, "0") &amp; " Minutes"))))</f>
        <v/>
      </c>
      <c r="D69" s="9" t="str">
        <f t="shared" si="8"/>
        <v/>
      </c>
      <c r="E69" t="str">
        <f t="shared" si="9"/>
        <v/>
      </c>
      <c r="F69" s="9" t="str">
        <f t="shared" si="10"/>
        <v/>
      </c>
      <c r="G69" s="10"/>
      <c r="H69" s="10" t="str">
        <f>IF(A69="","",G69+Q69)</f>
        <v/>
      </c>
      <c r="M69" t="str">
        <f>IF(A69="","",IF(Q69="", "", ROUND(20 * EXP(LN(50/20) * ((HOUR(Q69)*60 + MINUTE(Q69) - 30) / 30)), 2) * R69 * (1 - S69)))</f>
        <v/>
      </c>
      <c r="P69" t="str" cm="1">
        <f t="array" aca="1" ref="P69" ca="1">IF(AND(A69&lt;&gt;"", C69&lt;&gt;""),
   SUMPRODUCT(--(TEXT(DATE(YEAR(TODAY()), MONTH(TODAY()), ROW(INDIRECT("1:" &amp; DAY(EOMONTH(TODAY(), 0))))), "dddd")=C69)),
   "")</f>
        <v/>
      </c>
      <c r="Q69" s="12"/>
      <c r="R69" s="11" t="str">
        <f t="shared" si="7"/>
        <v/>
      </c>
      <c r="U69" s="13"/>
    </row>
    <row r="70" spans="2:21" ht="18" x14ac:dyDescent="0.35">
      <c r="B70" t="str">
        <f>IF(A70="", "", IF(Q70="", "", IF(Q70=TIME(0,30,0), "Half Hour", IF(Q70=TIME(1,0,0), "Hour", TEXT(Q70*1440, "0") &amp; " Minutes"))))</f>
        <v/>
      </c>
      <c r="D70" s="9" t="str">
        <f t="shared" si="8"/>
        <v/>
      </c>
      <c r="E70" t="str">
        <f t="shared" si="9"/>
        <v/>
      </c>
      <c r="F70" s="9" t="str">
        <f t="shared" si="10"/>
        <v/>
      </c>
      <c r="G70" s="10"/>
      <c r="H70" s="10" t="str">
        <f>IF(A70="","",G70+Q70)</f>
        <v/>
      </c>
      <c r="M70" t="str">
        <f>IF(A70="","",IF(Q70="", "", ROUND(20 * EXP(LN(50/20) * ((HOUR(Q70)*60 + MINUTE(Q70) - 30) / 30)), 2) * R70 * (1 - S70)))</f>
        <v/>
      </c>
      <c r="P70" t="str" cm="1">
        <f t="array" aca="1" ref="P70" ca="1">IF(AND(A70&lt;&gt;"", C70&lt;&gt;""),
   SUMPRODUCT(--(TEXT(DATE(YEAR(TODAY()), MONTH(TODAY()), ROW(INDIRECT("1:" &amp; DAY(EOMONTH(TODAY(), 0))))), "dddd")=C70)),
   "")</f>
        <v/>
      </c>
      <c r="Q70" s="12"/>
      <c r="R70" s="11" t="str">
        <f t="shared" si="7"/>
        <v/>
      </c>
      <c r="U70" s="13"/>
    </row>
    <row r="71" spans="2:21" ht="18" x14ac:dyDescent="0.35">
      <c r="B71" t="str">
        <f>IF(A71="", "", IF(Q71="", "", IF(Q71=TIME(0,30,0), "Half Hour", IF(Q71=TIME(1,0,0), "Hour", TEXT(Q71*1440, "0") &amp; " Minutes"))))</f>
        <v/>
      </c>
      <c r="D71" s="9" t="str">
        <f t="shared" si="8"/>
        <v/>
      </c>
      <c r="E71" t="str">
        <f t="shared" si="9"/>
        <v/>
      </c>
      <c r="F71" s="9" t="str">
        <f t="shared" si="10"/>
        <v/>
      </c>
      <c r="G71" s="10"/>
      <c r="H71" s="10" t="str">
        <f>IF(A71="","",G71+Q71)</f>
        <v/>
      </c>
      <c r="M71" t="str">
        <f>IF(A71="","",IF(Q71="", "", ROUND(20 * EXP(LN(50/20) * ((HOUR(Q71)*60 + MINUTE(Q71) - 30) / 30)), 2) * R71 * (1 - S71)))</f>
        <v/>
      </c>
      <c r="P71" t="str" cm="1">
        <f t="array" aca="1" ref="P71" ca="1">IF(AND(A71&lt;&gt;"", C71&lt;&gt;""),
   SUMPRODUCT(--(TEXT(DATE(YEAR(TODAY()), MONTH(TODAY()), ROW(INDIRECT("1:" &amp; DAY(EOMONTH(TODAY(), 0))))), "dddd")=C71)),
   "")</f>
        <v/>
      </c>
      <c r="Q71" s="12"/>
      <c r="R71" s="11" t="str">
        <f t="shared" si="7"/>
        <v/>
      </c>
      <c r="U71" s="13"/>
    </row>
    <row r="72" spans="2:21" ht="18" x14ac:dyDescent="0.35">
      <c r="B72" t="str">
        <f>IF(A72="", "", IF(Q72="", "", IF(Q72=TIME(0,30,0), "Half Hour", IF(Q72=TIME(1,0,0), "Hour", TEXT(Q72*1440, "0") &amp; " Minutes"))))</f>
        <v/>
      </c>
      <c r="D72" s="9" t="str">
        <f t="shared" si="8"/>
        <v/>
      </c>
      <c r="E72" t="str">
        <f t="shared" si="9"/>
        <v/>
      </c>
      <c r="F72" s="9" t="str">
        <f t="shared" si="10"/>
        <v/>
      </c>
      <c r="G72" s="10"/>
      <c r="H72" s="10" t="str">
        <f>IF(A72="","",G72+Q72)</f>
        <v/>
      </c>
      <c r="M72" t="str">
        <f>IF(A72="","",IF(Q72="", "", ROUND(20 * EXP(LN(50/20) * ((HOUR(Q72)*60 + MINUTE(Q72) - 30) / 30)), 2) * R72 * (1 - S72)))</f>
        <v/>
      </c>
      <c r="P72" t="str" cm="1">
        <f t="array" aca="1" ref="P72" ca="1">IF(AND(A72&lt;&gt;"", C72&lt;&gt;""),
   SUMPRODUCT(--(TEXT(DATE(YEAR(TODAY()), MONTH(TODAY()), ROW(INDIRECT("1:" &amp; DAY(EOMONTH(TODAY(), 0))))), "dddd")=C72)),
   "")</f>
        <v/>
      </c>
      <c r="Q72" s="12"/>
      <c r="R72" s="11" t="str">
        <f t="shared" si="7"/>
        <v/>
      </c>
      <c r="U72" s="13"/>
    </row>
    <row r="73" spans="2:21" ht="18" x14ac:dyDescent="0.35">
      <c r="B73" t="str">
        <f>IF(A73="", "", IF(Q73="", "", IF(Q73=TIME(0,30,0), "Half Hour", IF(Q73=TIME(1,0,0), "Hour", TEXT(Q73*1440, "0") &amp; " Minutes"))))</f>
        <v/>
      </c>
      <c r="D73" s="9" t="str">
        <f t="shared" si="8"/>
        <v/>
      </c>
      <c r="E73" t="str">
        <f t="shared" si="9"/>
        <v/>
      </c>
      <c r="F73" s="9" t="str">
        <f t="shared" si="10"/>
        <v/>
      </c>
      <c r="G73" s="10"/>
      <c r="H73" s="10" t="str">
        <f>IF(A73="","",G73+Q73)</f>
        <v/>
      </c>
      <c r="M73" t="str">
        <f>IF(A73="","",IF(Q73="", "", ROUND(20 * EXP(LN(50/20) * ((HOUR(Q73)*60 + MINUTE(Q73) - 30) / 30)), 2) * R73 * (1 - S73)))</f>
        <v/>
      </c>
      <c r="P73" t="str" cm="1">
        <f t="array" aca="1" ref="P73" ca="1">IF(AND(A73&lt;&gt;"", C73&lt;&gt;""),
   SUMPRODUCT(--(TEXT(DATE(YEAR(TODAY()), MONTH(TODAY()), ROW(INDIRECT("1:" &amp; DAY(EOMONTH(TODAY(), 0))))), "dddd")=C73)),
   "")</f>
        <v/>
      </c>
      <c r="Q73" s="12"/>
      <c r="R73" s="11" t="str">
        <f t="shared" si="7"/>
        <v/>
      </c>
      <c r="U73" s="13"/>
    </row>
    <row r="74" spans="2:21" ht="18" x14ac:dyDescent="0.35">
      <c r="B74" t="str">
        <f>IF(A74="", "", IF(Q74="", "", IF(Q74=TIME(0,30,0), "Half Hour", IF(Q74=TIME(1,0,0), "Hour", TEXT(Q74*1440, "0") &amp; " Minutes"))))</f>
        <v/>
      </c>
      <c r="D74" s="9" t="str">
        <f t="shared" si="8"/>
        <v/>
      </c>
      <c r="E74" t="str">
        <f t="shared" si="9"/>
        <v/>
      </c>
      <c r="F74" s="9" t="str">
        <f t="shared" si="10"/>
        <v/>
      </c>
      <c r="G74" s="10"/>
      <c r="H74" s="10" t="str">
        <f>IF(A74="","",G74+Q74)</f>
        <v/>
      </c>
      <c r="M74" t="str">
        <f>IF(A74="","",IF(Q74="", "", ROUND(20 * EXP(LN(50/20) * ((HOUR(Q74)*60 + MINUTE(Q74) - 30) / 30)), 2) * R74 * (1 - S74)))</f>
        <v/>
      </c>
      <c r="P74" t="str" cm="1">
        <f t="array" aca="1" ref="P74" ca="1">IF(AND(A74&lt;&gt;"", C74&lt;&gt;""),
   SUMPRODUCT(--(TEXT(DATE(YEAR(TODAY()), MONTH(TODAY()), ROW(INDIRECT("1:" &amp; DAY(EOMONTH(TODAY(), 0))))), "dddd")=C74)),
   "")</f>
        <v/>
      </c>
      <c r="Q74" s="12"/>
      <c r="R74" s="11" t="str">
        <f t="shared" si="7"/>
        <v/>
      </c>
      <c r="U74" s="13"/>
    </row>
    <row r="75" spans="2:21" ht="18" x14ac:dyDescent="0.35">
      <c r="B75" t="str">
        <f>IF(A75="", "", IF(Q75="", "", IF(Q75=TIME(0,30,0), "Half Hour", IF(Q75=TIME(1,0,0), "Hour", TEXT(Q75*1440, "0") &amp; " Minutes"))))</f>
        <v/>
      </c>
      <c r="D75" s="9" t="str">
        <f t="shared" si="8"/>
        <v/>
      </c>
      <c r="E75" t="str">
        <f t="shared" si="9"/>
        <v/>
      </c>
      <c r="F75" s="9" t="str">
        <f t="shared" si="10"/>
        <v/>
      </c>
      <c r="G75" s="10"/>
      <c r="H75" s="10" t="str">
        <f>IF(A75="","",G75+Q75)</f>
        <v/>
      </c>
      <c r="M75" t="str">
        <f>IF(A75="","",IF(Q75="", "", ROUND(20 * EXP(LN(50/20) * ((HOUR(Q75)*60 + MINUTE(Q75) - 30) / 30)), 2) * R75 * (1 - S75)))</f>
        <v/>
      </c>
      <c r="P75" t="str" cm="1">
        <f t="array" aca="1" ref="P75" ca="1">IF(AND(A75&lt;&gt;"", C75&lt;&gt;""),
   SUMPRODUCT(--(TEXT(DATE(YEAR(TODAY()), MONTH(TODAY()), ROW(INDIRECT("1:" &amp; DAY(EOMONTH(TODAY(), 0))))), "dddd")=C75)),
   "")</f>
        <v/>
      </c>
      <c r="Q75" s="12"/>
      <c r="R75" s="11" t="str">
        <f t="shared" si="7"/>
        <v/>
      </c>
      <c r="U75" s="13"/>
    </row>
    <row r="76" spans="2:21" ht="18" x14ac:dyDescent="0.35">
      <c r="B76" t="str">
        <f>IF(A76="", "", IF(Q76="", "", IF(Q76=TIME(0,30,0), "Half Hour", IF(Q76=TIME(1,0,0), "Hour", TEXT(Q76*1440, "0") &amp; " Minutes"))))</f>
        <v/>
      </c>
      <c r="D76" s="9" t="str">
        <f t="shared" si="8"/>
        <v/>
      </c>
      <c r="E76" t="str">
        <f t="shared" si="9"/>
        <v/>
      </c>
      <c r="F76" s="9" t="str">
        <f t="shared" si="10"/>
        <v/>
      </c>
      <c r="G76" s="10"/>
      <c r="H76" s="10" t="str">
        <f>IF(A76="","",G76+Q76)</f>
        <v/>
      </c>
      <c r="M76" t="str">
        <f>IF(A76="","",IF(Q76="", "", ROUND(20 * EXP(LN(50/20) * ((HOUR(Q76)*60 + MINUTE(Q76) - 30) / 30)), 2) * R76 * (1 - S76)))</f>
        <v/>
      </c>
      <c r="P76" t="str" cm="1">
        <f t="array" aca="1" ref="P76" ca="1">IF(AND(A76&lt;&gt;"", C76&lt;&gt;""),
   SUMPRODUCT(--(TEXT(DATE(YEAR(TODAY()), MONTH(TODAY()), ROW(INDIRECT("1:" &amp; DAY(EOMONTH(TODAY(), 0))))), "dddd")=C76)),
   "")</f>
        <v/>
      </c>
      <c r="Q76" s="12"/>
      <c r="R76" s="11" t="str">
        <f t="shared" si="7"/>
        <v/>
      </c>
      <c r="U76" s="13"/>
    </row>
    <row r="77" spans="2:21" ht="18" x14ac:dyDescent="0.35">
      <c r="B77" t="str">
        <f>IF(A77="", "", IF(Q77="", "", IF(Q77=TIME(0,30,0), "Half Hour", IF(Q77=TIME(1,0,0), "Hour", TEXT(Q77*1440, "0") &amp; " Minutes"))))</f>
        <v/>
      </c>
      <c r="D77" s="9" t="str">
        <f t="shared" si="8"/>
        <v/>
      </c>
      <c r="E77" t="str">
        <f t="shared" si="9"/>
        <v/>
      </c>
      <c r="F77" s="9" t="str">
        <f t="shared" si="10"/>
        <v/>
      </c>
      <c r="G77" s="10"/>
      <c r="H77" s="10" t="str">
        <f>IF(A77="","",G77+Q77)</f>
        <v/>
      </c>
      <c r="M77" t="str">
        <f>IF(A77="","",IF(Q77="", "", ROUND(20 * EXP(LN(50/20) * ((HOUR(Q77)*60 + MINUTE(Q77) - 30) / 30)), 2) * R77 * (1 - S77)))</f>
        <v/>
      </c>
      <c r="P77" t="str" cm="1">
        <f t="array" aca="1" ref="P77" ca="1">IF(AND(A77&lt;&gt;"", C77&lt;&gt;""),
   SUMPRODUCT(--(TEXT(DATE(YEAR(TODAY()), MONTH(TODAY()), ROW(INDIRECT("1:" &amp; DAY(EOMONTH(TODAY(), 0))))), "dddd")=C77)),
   "")</f>
        <v/>
      </c>
      <c r="Q77" s="12"/>
      <c r="R77" s="11" t="str">
        <f t="shared" si="7"/>
        <v/>
      </c>
      <c r="U77" s="13"/>
    </row>
    <row r="78" spans="2:21" ht="18" x14ac:dyDescent="0.35">
      <c r="B78" t="str">
        <f>IF(A78="", "", IF(Q78="", "", IF(Q78=TIME(0,30,0), "Half Hour", IF(Q78=TIME(1,0,0), "Hour", TEXT(Q78*1440, "0") &amp; " Minutes"))))</f>
        <v/>
      </c>
      <c r="D78" s="9" t="str">
        <f t="shared" si="8"/>
        <v/>
      </c>
      <c r="E78" t="str">
        <f t="shared" si="9"/>
        <v/>
      </c>
      <c r="F78" s="9" t="str">
        <f t="shared" si="10"/>
        <v/>
      </c>
      <c r="G78" s="10"/>
      <c r="H78" s="10" t="str">
        <f>IF(A78="","",G78+Q78)</f>
        <v/>
      </c>
      <c r="M78" t="str">
        <f>IF(A78="","",IF(Q78="", "", ROUND(20 * EXP(LN(50/20) * ((HOUR(Q78)*60 + MINUTE(Q78) - 30) / 30)), 2) * R78 * (1 - S78)))</f>
        <v/>
      </c>
      <c r="P78" t="str" cm="1">
        <f t="array" aca="1" ref="P78" ca="1">IF(AND(A78&lt;&gt;"", C78&lt;&gt;""),
   SUMPRODUCT(--(TEXT(DATE(YEAR(TODAY()), MONTH(TODAY()), ROW(INDIRECT("1:" &amp; DAY(EOMONTH(TODAY(), 0))))), "dddd")=C78)),
   "")</f>
        <v/>
      </c>
      <c r="Q78" s="12"/>
      <c r="R78" s="11" t="str">
        <f t="shared" si="7"/>
        <v/>
      </c>
      <c r="U78" s="13"/>
    </row>
    <row r="79" spans="2:21" ht="18" x14ac:dyDescent="0.35">
      <c r="B79" t="str">
        <f>IF(A79="", "", IF(Q79="", "", IF(Q79=TIME(0,30,0), "Half Hour", IF(Q79=TIME(1,0,0), "Hour", TEXT(Q79*1440, "0") &amp; " Minutes"))))</f>
        <v/>
      </c>
      <c r="D79" s="9" t="str">
        <f t="shared" si="8"/>
        <v/>
      </c>
      <c r="E79" t="str">
        <f t="shared" si="9"/>
        <v/>
      </c>
      <c r="F79" s="9" t="str">
        <f t="shared" si="10"/>
        <v/>
      </c>
      <c r="G79" s="10"/>
      <c r="H79" s="10" t="str">
        <f>IF(A79="","",G79+Q79)</f>
        <v/>
      </c>
      <c r="M79" t="str">
        <f>IF(A79="","",IF(Q79="", "", ROUND(20 * EXP(LN(50/20) * ((HOUR(Q79)*60 + MINUTE(Q79) - 30) / 30)), 2) * R79 * (1 - S79)))</f>
        <v/>
      </c>
      <c r="P79" t="str" cm="1">
        <f t="array" aca="1" ref="P79" ca="1">IF(AND(A79&lt;&gt;"", C79&lt;&gt;""),
   SUMPRODUCT(--(TEXT(DATE(YEAR(TODAY()), MONTH(TODAY()), ROW(INDIRECT("1:" &amp; DAY(EOMONTH(TODAY(), 0))))), "dddd")=C79)),
   "")</f>
        <v/>
      </c>
      <c r="Q79" s="12"/>
      <c r="R79" s="11" t="str">
        <f t="shared" si="7"/>
        <v/>
      </c>
      <c r="U79" s="13"/>
    </row>
    <row r="80" spans="2:21" ht="18" x14ac:dyDescent="0.35">
      <c r="B80" t="str">
        <f>IF(A80="", "", IF(Q80="", "", IF(Q80=TIME(0,30,0), "Half Hour", IF(Q80=TIME(1,0,0), "Hour", TEXT(Q80*1440, "0") &amp; " Minutes"))))</f>
        <v/>
      </c>
      <c r="D80" s="9" t="str">
        <f t="shared" si="8"/>
        <v/>
      </c>
      <c r="E80" t="str">
        <f t="shared" si="9"/>
        <v/>
      </c>
      <c r="F80" s="9" t="str">
        <f t="shared" si="10"/>
        <v/>
      </c>
      <c r="G80" s="10"/>
      <c r="H80" s="10" t="str">
        <f>IF(A80="","",G80+Q80)</f>
        <v/>
      </c>
      <c r="M80" t="str">
        <f>IF(A80="","",IF(Q80="", "", ROUND(20 * EXP(LN(50/20) * ((HOUR(Q80)*60 + MINUTE(Q80) - 30) / 30)), 2) * R80 * (1 - S80)))</f>
        <v/>
      </c>
      <c r="P80" t="str" cm="1">
        <f t="array" aca="1" ref="P80" ca="1">IF(AND(A80&lt;&gt;"", C80&lt;&gt;""),
   SUMPRODUCT(--(TEXT(DATE(YEAR(TODAY()), MONTH(TODAY()), ROW(INDIRECT("1:" &amp; DAY(EOMONTH(TODAY(), 0))))), "dddd")=C80)),
   "")</f>
        <v/>
      </c>
      <c r="Q80" s="12"/>
      <c r="R80" s="11" t="str">
        <f t="shared" si="7"/>
        <v/>
      </c>
      <c r="U80" s="13"/>
    </row>
    <row r="81" spans="2:21" ht="18" x14ac:dyDescent="0.35">
      <c r="B81" t="str">
        <f>IF(A81="", "", IF(Q81="", "", IF(Q81=TIME(0,30,0), "Half Hour", IF(Q81=TIME(1,0,0), "Hour", TEXT(Q81*1440, "0") &amp; " Minutes"))))</f>
        <v/>
      </c>
      <c r="D81" s="9" t="str">
        <f t="shared" si="8"/>
        <v/>
      </c>
      <c r="E81" t="str">
        <f t="shared" si="9"/>
        <v/>
      </c>
      <c r="F81" s="9" t="str">
        <f t="shared" si="10"/>
        <v/>
      </c>
      <c r="G81" s="10"/>
      <c r="H81" s="10" t="str">
        <f>IF(A81="","",G81+Q81)</f>
        <v/>
      </c>
      <c r="M81" t="str">
        <f>IF(A81="","",IF(Q81="", "", ROUND(20 * EXP(LN(50/20) * ((HOUR(Q81)*60 + MINUTE(Q81) - 30) / 30)), 2) * R81 * (1 - S81)))</f>
        <v/>
      </c>
      <c r="P81" t="str" cm="1">
        <f t="array" aca="1" ref="P81" ca="1">IF(AND(A81&lt;&gt;"", C81&lt;&gt;""),
   SUMPRODUCT(--(TEXT(DATE(YEAR(TODAY()), MONTH(TODAY()), ROW(INDIRECT("1:" &amp; DAY(EOMONTH(TODAY(), 0))))), "dddd")=C81)),
   "")</f>
        <v/>
      </c>
      <c r="Q81" s="12"/>
      <c r="R81" s="11" t="str">
        <f t="shared" si="7"/>
        <v/>
      </c>
      <c r="U81" s="13"/>
    </row>
    <row r="82" spans="2:21" ht="18" x14ac:dyDescent="0.35">
      <c r="B82" t="str">
        <f>IF(A82="", "", IF(Q82="", "", IF(Q82=TIME(0,30,0), "Half Hour", IF(Q82=TIME(1,0,0), "Hour", TEXT(Q82*1440, "0") &amp; " Minutes"))))</f>
        <v/>
      </c>
      <c r="D82" s="9" t="str">
        <f t="shared" si="8"/>
        <v/>
      </c>
      <c r="E82" t="str">
        <f t="shared" si="9"/>
        <v/>
      </c>
      <c r="F82" s="9" t="str">
        <f t="shared" si="10"/>
        <v/>
      </c>
      <c r="G82" s="10"/>
      <c r="H82" s="10" t="str">
        <f>IF(A82="","",G82+Q82)</f>
        <v/>
      </c>
      <c r="M82" t="str">
        <f>IF(A82="","",IF(Q82="", "", ROUND(20 * EXP(LN(50/20) * ((HOUR(Q82)*60 + MINUTE(Q82) - 30) / 30)), 2) * R82 * (1 - S82)))</f>
        <v/>
      </c>
      <c r="P82" t="str" cm="1">
        <f t="array" aca="1" ref="P82" ca="1">IF(AND(A82&lt;&gt;"", C82&lt;&gt;""),
   SUMPRODUCT(--(TEXT(DATE(YEAR(TODAY()), MONTH(TODAY()), ROW(INDIRECT("1:" &amp; DAY(EOMONTH(TODAY(), 0))))), "dddd")=C82)),
   "")</f>
        <v/>
      </c>
      <c r="Q82" s="12"/>
      <c r="R82" s="11" t="str">
        <f t="shared" si="7"/>
        <v/>
      </c>
      <c r="U82" s="13"/>
    </row>
    <row r="83" spans="2:21" ht="18" x14ac:dyDescent="0.35">
      <c r="B83" t="str">
        <f>IF(A83="", "", IF(Q83="", "", IF(Q83=TIME(0,30,0), "Half Hour", IF(Q83=TIME(1,0,0), "Hour", TEXT(Q83*1440, "0") &amp; " Minutes"))))</f>
        <v/>
      </c>
      <c r="D83" s="9" t="str">
        <f t="shared" si="8"/>
        <v/>
      </c>
      <c r="E83" t="str">
        <f t="shared" si="9"/>
        <v/>
      </c>
      <c r="F83" s="9" t="str">
        <f t="shared" si="10"/>
        <v/>
      </c>
      <c r="G83" s="10"/>
      <c r="H83" s="10" t="str">
        <f>IF(A83="","",G83+Q83)</f>
        <v/>
      </c>
      <c r="M83" t="str">
        <f>IF(A83="","",IF(Q83="", "", ROUND(20 * EXP(LN(50/20) * ((HOUR(Q83)*60 + MINUTE(Q83) - 30) / 30)), 2) * R83 * (1 - S83)))</f>
        <v/>
      </c>
      <c r="P83" t="str" cm="1">
        <f t="array" aca="1" ref="P83" ca="1">IF(AND(A83&lt;&gt;"", C83&lt;&gt;""),
   SUMPRODUCT(--(TEXT(DATE(YEAR(TODAY()), MONTH(TODAY()), ROW(INDIRECT("1:" &amp; DAY(EOMONTH(TODAY(), 0))))), "dddd")=C83)),
   "")</f>
        <v/>
      </c>
      <c r="Q83" s="12"/>
      <c r="R83" s="11" t="str">
        <f t="shared" si="7"/>
        <v/>
      </c>
      <c r="U83" s="13"/>
    </row>
    <row r="84" spans="2:21" ht="18" x14ac:dyDescent="0.35">
      <c r="B84" t="str">
        <f>IF(A84="", "", IF(Q84="", "", IF(Q84=TIME(0,30,0), "Half Hour", IF(Q84=TIME(1,0,0), "Hour", TEXT(Q84*1440, "0") &amp; " Minutes"))))</f>
        <v/>
      </c>
      <c r="D84" s="9" t="str">
        <f t="shared" si="8"/>
        <v/>
      </c>
      <c r="E84" t="str">
        <f t="shared" si="9"/>
        <v/>
      </c>
      <c r="F84" s="9" t="str">
        <f t="shared" si="10"/>
        <v/>
      </c>
      <c r="G84" s="10"/>
      <c r="H84" s="10" t="str">
        <f>IF(A84="","",G84+Q84)</f>
        <v/>
      </c>
      <c r="M84" t="str">
        <f>IF(A84="","",IF(Q84="", "", ROUND(20 * EXP(LN(50/20) * ((HOUR(Q84)*60 + MINUTE(Q84) - 30) / 30)), 2) * R84 * (1 - S84)))</f>
        <v/>
      </c>
      <c r="P84" t="str" cm="1">
        <f t="array" aca="1" ref="P84" ca="1">IF(AND(A84&lt;&gt;"", C84&lt;&gt;""),
   SUMPRODUCT(--(TEXT(DATE(YEAR(TODAY()), MONTH(TODAY()), ROW(INDIRECT("1:" &amp; DAY(EOMONTH(TODAY(), 0))))), "dddd")=C84)),
   "")</f>
        <v/>
      </c>
      <c r="Q84" s="12"/>
      <c r="R84" s="11" t="str">
        <f t="shared" si="7"/>
        <v/>
      </c>
      <c r="U84" s="13"/>
    </row>
    <row r="85" spans="2:21" ht="18" x14ac:dyDescent="0.35">
      <c r="B85" t="str">
        <f>IF(A85="", "", IF(Q85="", "", IF(Q85=TIME(0,30,0), "Half Hour", IF(Q85=TIME(1,0,0), "Hour", TEXT(Q85*1440, "0") &amp; " Minutes"))))</f>
        <v/>
      </c>
      <c r="D85" s="9" t="str">
        <f t="shared" si="8"/>
        <v/>
      </c>
      <c r="E85" t="str">
        <f t="shared" si="9"/>
        <v/>
      </c>
      <c r="F85" s="9" t="str">
        <f t="shared" si="10"/>
        <v/>
      </c>
      <c r="G85" s="10"/>
      <c r="H85" s="10" t="str">
        <f>IF(A85="","",G85+Q85)</f>
        <v/>
      </c>
      <c r="M85" t="str">
        <f>IF(A85="","",IF(Q85="", "", ROUND(20 * EXP(LN(50/20) * ((HOUR(Q85)*60 + MINUTE(Q85) - 30) / 30)), 2) * R85 * (1 - S85)))</f>
        <v/>
      </c>
      <c r="P85" t="str" cm="1">
        <f t="array" aca="1" ref="P85" ca="1">IF(AND(A85&lt;&gt;"", C85&lt;&gt;""),
   SUMPRODUCT(--(TEXT(DATE(YEAR(TODAY()), MONTH(TODAY()), ROW(INDIRECT("1:" &amp; DAY(EOMONTH(TODAY(), 0))))), "dddd")=C85)),
   "")</f>
        <v/>
      </c>
      <c r="Q85" s="12"/>
      <c r="R85" s="11" t="str">
        <f t="shared" si="7"/>
        <v/>
      </c>
      <c r="U85" s="13"/>
    </row>
    <row r="86" spans="2:21" ht="18" x14ac:dyDescent="0.35">
      <c r="B86" t="str">
        <f>IF(A86="", "", IF(Q86="", "", IF(Q86=TIME(0,30,0), "Half Hour", IF(Q86=TIME(1,0,0), "Hour", TEXT(Q86*1440, "0") &amp; " Minutes"))))</f>
        <v/>
      </c>
      <c r="D86" s="9" t="str">
        <f t="shared" si="8"/>
        <v/>
      </c>
      <c r="E86" t="str">
        <f t="shared" si="9"/>
        <v/>
      </c>
      <c r="F86" s="9" t="str">
        <f t="shared" si="10"/>
        <v/>
      </c>
      <c r="G86" s="10"/>
      <c r="H86" s="10" t="str">
        <f>IF(A86="","",G86+Q86)</f>
        <v/>
      </c>
      <c r="M86" t="str">
        <f>IF(A86="","",IF(Q86="", "", ROUND(20 * EXP(LN(50/20) * ((HOUR(Q86)*60 + MINUTE(Q86) - 30) / 30)), 2) * R86 * (1 - S86)))</f>
        <v/>
      </c>
      <c r="P86" t="str" cm="1">
        <f t="array" aca="1" ref="P86" ca="1">IF(AND(A86&lt;&gt;"", C86&lt;&gt;""),
   SUMPRODUCT(--(TEXT(DATE(YEAR(TODAY()), MONTH(TODAY()), ROW(INDIRECT("1:" &amp; DAY(EOMONTH(TODAY(), 0))))), "dddd")=C86)),
   "")</f>
        <v/>
      </c>
      <c r="Q86" s="12"/>
      <c r="R86" s="11" t="str">
        <f t="shared" si="7"/>
        <v/>
      </c>
      <c r="U86" s="13"/>
    </row>
    <row r="87" spans="2:21" ht="18" x14ac:dyDescent="0.35">
      <c r="B87" t="str">
        <f>IF(A87="", "", IF(Q87="", "", IF(Q87=TIME(0,30,0), "Half Hour", IF(Q87=TIME(1,0,0), "Hour", TEXT(Q87*1440, "0") &amp; " Minutes"))))</f>
        <v/>
      </c>
      <c r="D87" s="9" t="str">
        <f t="shared" si="8"/>
        <v/>
      </c>
      <c r="E87" t="str">
        <f t="shared" si="9"/>
        <v/>
      </c>
      <c r="F87" s="9" t="str">
        <f t="shared" si="10"/>
        <v/>
      </c>
      <c r="G87" s="10"/>
      <c r="H87" s="10" t="str">
        <f>IF(A87="","",G87+Q87)</f>
        <v/>
      </c>
      <c r="M87" t="str">
        <f>IF(A87="","",IF(Q87="", "", ROUND(20 * EXP(LN(50/20) * ((HOUR(Q87)*60 + MINUTE(Q87) - 30) / 30)), 2) * R87 * (1 - S87)))</f>
        <v/>
      </c>
      <c r="P87" t="str" cm="1">
        <f t="array" aca="1" ref="P87" ca="1">IF(AND(A87&lt;&gt;"", C87&lt;&gt;""),
   SUMPRODUCT(--(TEXT(DATE(YEAR(TODAY()), MONTH(TODAY()), ROW(INDIRECT("1:" &amp; DAY(EOMONTH(TODAY(), 0))))), "dddd")=C87)),
   "")</f>
        <v/>
      </c>
      <c r="Q87" s="12"/>
      <c r="R87" s="11" t="str">
        <f t="shared" si="7"/>
        <v/>
      </c>
      <c r="U87" s="13"/>
    </row>
    <row r="88" spans="2:21" ht="18" x14ac:dyDescent="0.35">
      <c r="B88" t="str">
        <f>IF(A88="", "", IF(Q88="", "", IF(Q88=TIME(0,30,0), "Half Hour", IF(Q88=TIME(1,0,0), "Hour", TEXT(Q88*1440, "0") &amp; " Minutes"))))</f>
        <v/>
      </c>
      <c r="D88" s="9" t="str">
        <f t="shared" si="8"/>
        <v/>
      </c>
      <c r="E88" t="str">
        <f t="shared" si="9"/>
        <v/>
      </c>
      <c r="F88" s="9" t="str">
        <f t="shared" si="10"/>
        <v/>
      </c>
      <c r="G88" s="10"/>
      <c r="H88" s="10" t="str">
        <f>IF(A88="","",G88+Q88)</f>
        <v/>
      </c>
      <c r="M88" t="str">
        <f>IF(A88="","",IF(Q88="", "", ROUND(20 * EXP(LN(50/20) * ((HOUR(Q88)*60 + MINUTE(Q88) - 30) / 30)), 2) * R88 * (1 - S88)))</f>
        <v/>
      </c>
      <c r="P88" t="str" cm="1">
        <f t="array" aca="1" ref="P88" ca="1">IF(AND(A88&lt;&gt;"", C88&lt;&gt;""),
   SUMPRODUCT(--(TEXT(DATE(YEAR(TODAY()), MONTH(TODAY()), ROW(INDIRECT("1:" &amp; DAY(EOMONTH(TODAY(), 0))))), "dddd")=C88)),
   "")</f>
        <v/>
      </c>
      <c r="Q88" s="12"/>
      <c r="R88" s="11" t="str">
        <f t="shared" si="7"/>
        <v/>
      </c>
      <c r="U88" s="13"/>
    </row>
    <row r="89" spans="2:21" ht="18" x14ac:dyDescent="0.35">
      <c r="B89" t="str">
        <f>IF(A89="", "", IF(Q89="", "", IF(Q89=TIME(0,30,0), "Half Hour", IF(Q89=TIME(1,0,0), "Hour", TEXT(Q89*1440, "0") &amp; " Minutes"))))</f>
        <v/>
      </c>
      <c r="D89" s="9" t="str">
        <f t="shared" si="8"/>
        <v/>
      </c>
      <c r="E89" t="str">
        <f t="shared" si="9"/>
        <v/>
      </c>
      <c r="F89" s="9" t="str">
        <f t="shared" si="10"/>
        <v/>
      </c>
      <c r="G89" s="10"/>
      <c r="H89" s="10" t="str">
        <f>IF(A89="","",G89+Q89)</f>
        <v/>
      </c>
      <c r="M89" t="str">
        <f>IF(A89="","",IF(Q89="", "", ROUND(20 * EXP(LN(50/20) * ((HOUR(Q89)*60 + MINUTE(Q89) - 30) / 30)), 2) * R89 * (1 - S89)))</f>
        <v/>
      </c>
      <c r="P89" t="str" cm="1">
        <f t="array" aca="1" ref="P89" ca="1">IF(AND(A89&lt;&gt;"", C89&lt;&gt;""),
   SUMPRODUCT(--(TEXT(DATE(YEAR(TODAY()), MONTH(TODAY()), ROW(INDIRECT("1:" &amp; DAY(EOMONTH(TODAY(), 0))))), "dddd")=C89)),
   "")</f>
        <v/>
      </c>
      <c r="Q89" s="12"/>
      <c r="R89" s="11" t="str">
        <f t="shared" si="7"/>
        <v/>
      </c>
      <c r="U89" s="13"/>
    </row>
    <row r="90" spans="2:21" ht="18" x14ac:dyDescent="0.35">
      <c r="B90" t="str">
        <f>IF(A90="", "", IF(Q90="", "", IF(Q90=TIME(0,30,0), "Half Hour", IF(Q90=TIME(1,0,0), "Hour", TEXT(Q90*1440, "0") &amp; " Minutes"))))</f>
        <v/>
      </c>
      <c r="D90" s="9" t="str">
        <f t="shared" si="8"/>
        <v/>
      </c>
      <c r="E90" t="str">
        <f t="shared" si="9"/>
        <v/>
      </c>
      <c r="F90" s="9" t="str">
        <f t="shared" si="10"/>
        <v/>
      </c>
      <c r="G90" s="10"/>
      <c r="H90" s="10" t="str">
        <f>IF(A90="","",G90+Q90)</f>
        <v/>
      </c>
      <c r="M90" t="str">
        <f>IF(A90="","",IF(Q90="", "", ROUND(20 * EXP(LN(50/20) * ((HOUR(Q90)*60 + MINUTE(Q90) - 30) / 30)), 2) * R90 * (1 - S90)))</f>
        <v/>
      </c>
      <c r="P90" t="str" cm="1">
        <f t="array" aca="1" ref="P90" ca="1">IF(AND(A90&lt;&gt;"", C90&lt;&gt;""),
   SUMPRODUCT(--(TEXT(DATE(YEAR(TODAY()), MONTH(TODAY()), ROW(INDIRECT("1:" &amp; DAY(EOMONTH(TODAY(), 0))))), "dddd")=C90)),
   "")</f>
        <v/>
      </c>
      <c r="Q90" s="12"/>
      <c r="R90" s="11" t="str">
        <f t="shared" si="7"/>
        <v/>
      </c>
      <c r="U90" s="13"/>
    </row>
    <row r="91" spans="2:21" ht="18" x14ac:dyDescent="0.35">
      <c r="B91" t="str">
        <f>IF(A91="", "", IF(Q91="", "", IF(Q91=TIME(0,30,0), "Half Hour", IF(Q91=TIME(1,0,0), "Hour", TEXT(Q91*1440, "0") &amp; " Minutes"))))</f>
        <v/>
      </c>
      <c r="D91" s="9" t="str">
        <f t="shared" si="8"/>
        <v/>
      </c>
      <c r="E91" t="str">
        <f t="shared" si="9"/>
        <v/>
      </c>
      <c r="F91" s="9" t="str">
        <f t="shared" si="10"/>
        <v/>
      </c>
      <c r="G91" s="10"/>
      <c r="H91" s="10" t="str">
        <f>IF(A91="","",G91+Q91)</f>
        <v/>
      </c>
      <c r="M91" t="str">
        <f>IF(A91="","",IF(Q91="", "", ROUND(20 * EXP(LN(50/20) * ((HOUR(Q91)*60 + MINUTE(Q91) - 30) / 30)), 2) * R91 * (1 - S91)))</f>
        <v/>
      </c>
      <c r="P91" t="str" cm="1">
        <f t="array" aca="1" ref="P91" ca="1">IF(AND(A91&lt;&gt;"", C91&lt;&gt;""),
   SUMPRODUCT(--(TEXT(DATE(YEAR(TODAY()), MONTH(TODAY()), ROW(INDIRECT("1:" &amp; DAY(EOMONTH(TODAY(), 0))))), "dddd")=C91)),
   "")</f>
        <v/>
      </c>
      <c r="Q91" s="12"/>
      <c r="R91" s="11" t="str">
        <f t="shared" si="7"/>
        <v/>
      </c>
      <c r="U91" s="13"/>
    </row>
    <row r="92" spans="2:21" ht="18" x14ac:dyDescent="0.35">
      <c r="B92" t="str">
        <f>IF(A92="", "", IF(Q92="", "", IF(Q92=TIME(0,30,0), "Half Hour", IF(Q92=TIME(1,0,0), "Hour", TEXT(Q92*1440, "0") &amp; " Minutes"))))</f>
        <v/>
      </c>
      <c r="D92" s="9" t="str">
        <f t="shared" si="8"/>
        <v/>
      </c>
      <c r="E92" t="str">
        <f t="shared" si="9"/>
        <v/>
      </c>
      <c r="F92" s="9" t="str">
        <f t="shared" si="10"/>
        <v/>
      </c>
      <c r="G92" s="10"/>
      <c r="H92" s="10" t="str">
        <f>IF(A92="","",G92+Q92)</f>
        <v/>
      </c>
      <c r="M92" t="str">
        <f>IF(A92="","",IF(Q92="", "", ROUND(20 * EXP(LN(50/20) * ((HOUR(Q92)*60 + MINUTE(Q92) - 30) / 30)), 2) * R92 * (1 - S92)))</f>
        <v/>
      </c>
      <c r="P92" t="str" cm="1">
        <f t="array" aca="1" ref="P92" ca="1">IF(AND(A92&lt;&gt;"", C92&lt;&gt;""),
   SUMPRODUCT(--(TEXT(DATE(YEAR(TODAY()), MONTH(TODAY()), ROW(INDIRECT("1:" &amp; DAY(EOMONTH(TODAY(), 0))))), "dddd")=C92)),
   "")</f>
        <v/>
      </c>
      <c r="Q92" s="12"/>
      <c r="R92" s="11" t="str">
        <f t="shared" si="7"/>
        <v/>
      </c>
      <c r="U92" s="13"/>
    </row>
    <row r="93" spans="2:21" ht="18" x14ac:dyDescent="0.35">
      <c r="B93" t="str">
        <f>IF(A93="", "", IF(Q93="", "", IF(Q93=TIME(0,30,0), "Half Hour", IF(Q93=TIME(1,0,0), "Hour", TEXT(Q93*1440, "0") &amp; " Minutes"))))</f>
        <v/>
      </c>
      <c r="D93" s="9" t="str">
        <f t="shared" si="8"/>
        <v/>
      </c>
      <c r="E93" t="str">
        <f t="shared" si="9"/>
        <v/>
      </c>
      <c r="F93" s="9" t="str">
        <f t="shared" si="10"/>
        <v/>
      </c>
      <c r="G93" s="10"/>
      <c r="H93" s="10" t="str">
        <f>IF(A93="","",G93+Q93)</f>
        <v/>
      </c>
      <c r="M93" t="str">
        <f>IF(A93="","",IF(Q93="", "", ROUND(20 * EXP(LN(50/20) * ((HOUR(Q93)*60 + MINUTE(Q93) - 30) / 30)), 2) * R93 * (1 - S93)))</f>
        <v/>
      </c>
      <c r="P93" t="str" cm="1">
        <f t="array" aca="1" ref="P93" ca="1">IF(AND(A93&lt;&gt;"", C93&lt;&gt;""),
   SUMPRODUCT(--(TEXT(DATE(YEAR(TODAY()), MONTH(TODAY()), ROW(INDIRECT("1:" &amp; DAY(EOMONTH(TODAY(), 0))))), "dddd")=C93)),
   "")</f>
        <v/>
      </c>
      <c r="Q93" s="12"/>
      <c r="R93" s="11" t="str">
        <f t="shared" si="7"/>
        <v/>
      </c>
      <c r="U93" s="13"/>
    </row>
    <row r="94" spans="2:21" ht="18" x14ac:dyDescent="0.35">
      <c r="B94" t="str">
        <f>IF(A94="", "", IF(Q94="", "", IF(Q94=TIME(0,30,0), "Half Hour", IF(Q94=TIME(1,0,0), "Hour", TEXT(Q94*1440, "0") &amp; " Minutes"))))</f>
        <v/>
      </c>
      <c r="D94" s="9" t="str">
        <f t="shared" si="8"/>
        <v/>
      </c>
      <c r="E94" t="str">
        <f t="shared" si="9"/>
        <v/>
      </c>
      <c r="F94" s="9" t="str">
        <f t="shared" si="10"/>
        <v/>
      </c>
      <c r="G94" s="10"/>
      <c r="H94" s="10" t="str">
        <f>IF(A94="","",G94+Q94)</f>
        <v/>
      </c>
      <c r="M94" t="str">
        <f>IF(A94="","",IF(Q94="", "", ROUND(20 * EXP(LN(50/20) * ((HOUR(Q94)*60 + MINUTE(Q94) - 30) / 30)), 2) * R94 * (1 - S94)))</f>
        <v/>
      </c>
      <c r="P94" t="str" cm="1">
        <f t="array" aca="1" ref="P94" ca="1">IF(AND(A94&lt;&gt;"", C94&lt;&gt;""),
   SUMPRODUCT(--(TEXT(DATE(YEAR(TODAY()), MONTH(TODAY()), ROW(INDIRECT("1:" &amp; DAY(EOMONTH(TODAY(), 0))))), "dddd")=C94)),
   "")</f>
        <v/>
      </c>
      <c r="Q94" s="12"/>
      <c r="R94" s="11" t="str">
        <f t="shared" si="7"/>
        <v/>
      </c>
      <c r="U94" s="13"/>
    </row>
    <row r="95" spans="2:21" ht="18" x14ac:dyDescent="0.35">
      <c r="B95" t="str">
        <f>IF(A95="", "", IF(Q95="", "", IF(Q95=TIME(0,30,0), "Half Hour", IF(Q95=TIME(1,0,0), "Hour", TEXT(Q95*1440, "0") &amp; " Minutes"))))</f>
        <v/>
      </c>
      <c r="D95" s="9" t="str">
        <f t="shared" si="8"/>
        <v/>
      </c>
      <c r="E95" t="str">
        <f t="shared" si="9"/>
        <v/>
      </c>
      <c r="F95" s="9" t="str">
        <f t="shared" si="10"/>
        <v/>
      </c>
      <c r="G95" s="10"/>
      <c r="H95" s="10" t="str">
        <f>IF(A95="","",G95+Q95)</f>
        <v/>
      </c>
      <c r="M95" t="str">
        <f>IF(A95="","",IF(Q95="", "", ROUND(20 * EXP(LN(50/20) * ((HOUR(Q95)*60 + MINUTE(Q95) - 30) / 30)), 2) * R95 * (1 - S95)))</f>
        <v/>
      </c>
      <c r="P95" t="str" cm="1">
        <f t="array" aca="1" ref="P95" ca="1">IF(AND(A95&lt;&gt;"", C95&lt;&gt;""),
   SUMPRODUCT(--(TEXT(DATE(YEAR(TODAY()), MONTH(TODAY()), ROW(INDIRECT("1:" &amp; DAY(EOMONTH(TODAY(), 0))))), "dddd")=C95)),
   "")</f>
        <v/>
      </c>
      <c r="Q95" s="12"/>
      <c r="R95" s="11" t="str">
        <f t="shared" si="7"/>
        <v/>
      </c>
      <c r="U95" s="13"/>
    </row>
    <row r="96" spans="2:21" ht="18" x14ac:dyDescent="0.35">
      <c r="B96" t="str">
        <f>IF(A96="", "", IF(Q96="", "", IF(Q96=TIME(0,30,0), "Half Hour", IF(Q96=TIME(1,0,0), "Hour", TEXT(Q96*1440, "0") &amp; " Minutes"))))</f>
        <v/>
      </c>
      <c r="D96" s="9" t="str">
        <f t="shared" si="8"/>
        <v/>
      </c>
      <c r="E96" t="str">
        <f t="shared" si="9"/>
        <v/>
      </c>
      <c r="F96" s="9" t="str">
        <f t="shared" si="10"/>
        <v/>
      </c>
      <c r="G96" s="10"/>
      <c r="H96" s="10" t="str">
        <f>IF(A96="","",G96+Q96)</f>
        <v/>
      </c>
      <c r="M96" t="str">
        <f>IF(A96="","",IF(Q96="", "", ROUND(20 * EXP(LN(50/20) * ((HOUR(Q96)*60 + MINUTE(Q96) - 30) / 30)), 2) * R96 * (1 - S96)))</f>
        <v/>
      </c>
      <c r="P96" t="str" cm="1">
        <f t="array" aca="1" ref="P96" ca="1">IF(AND(A96&lt;&gt;"", C96&lt;&gt;""),
   SUMPRODUCT(--(TEXT(DATE(YEAR(TODAY()), MONTH(TODAY()), ROW(INDIRECT("1:" &amp; DAY(EOMONTH(TODAY(), 0))))), "dddd")=C96)),
   "")</f>
        <v/>
      </c>
      <c r="Q96" s="12"/>
      <c r="R96" s="11" t="str">
        <f t="shared" si="7"/>
        <v/>
      </c>
      <c r="U96" s="13"/>
    </row>
    <row r="97" spans="2:21" ht="18" x14ac:dyDescent="0.35">
      <c r="B97" t="str">
        <f>IF(A97="", "", IF(Q97="", "", IF(Q97=TIME(0,30,0), "Half Hour", IF(Q97=TIME(1,0,0), "Hour", TEXT(Q97*1440, "0") &amp; " Minutes"))))</f>
        <v/>
      </c>
      <c r="D97" s="9" t="str">
        <f t="shared" si="8"/>
        <v/>
      </c>
      <c r="E97" t="str">
        <f t="shared" si="9"/>
        <v/>
      </c>
      <c r="F97" s="9" t="str">
        <f t="shared" si="10"/>
        <v/>
      </c>
      <c r="G97" s="10"/>
      <c r="H97" s="10" t="str">
        <f>IF(A97="","",G97+Q97)</f>
        <v/>
      </c>
      <c r="M97" t="str">
        <f>IF(A97="","",IF(Q97="", "", ROUND(20 * EXP(LN(50/20) * ((HOUR(Q97)*60 + MINUTE(Q97) - 30) / 30)), 2) * R97 * (1 - S97)))</f>
        <v/>
      </c>
      <c r="P97" t="str" cm="1">
        <f t="array" aca="1" ref="P97" ca="1">IF(AND(A97&lt;&gt;"", C97&lt;&gt;""),
   SUMPRODUCT(--(TEXT(DATE(YEAR(TODAY()), MONTH(TODAY()), ROW(INDIRECT("1:" &amp; DAY(EOMONTH(TODAY(), 0))))), "dddd")=C97)),
   "")</f>
        <v/>
      </c>
      <c r="Q97" s="12"/>
      <c r="R97" s="11" t="str">
        <f t="shared" si="7"/>
        <v/>
      </c>
      <c r="U97" s="13"/>
    </row>
    <row r="98" spans="2:21" ht="18" x14ac:dyDescent="0.35">
      <c r="B98" t="str">
        <f>IF(A98="", "", IF(Q98="", "", IF(Q98=TIME(0,30,0), "Half Hour", IF(Q98=TIME(1,0,0), "Hour", TEXT(Q98*1440, "0") &amp; " Minutes"))))</f>
        <v/>
      </c>
      <c r="D98" s="9" t="str">
        <f t="shared" si="8"/>
        <v/>
      </c>
      <c r="E98" t="str">
        <f t="shared" si="9"/>
        <v/>
      </c>
      <c r="F98" s="9" t="str">
        <f t="shared" si="10"/>
        <v/>
      </c>
      <c r="G98" s="10"/>
      <c r="H98" s="10" t="str">
        <f>IF(A98="","",G98+Q98)</f>
        <v/>
      </c>
      <c r="M98" t="str">
        <f>IF(A98="","",IF(Q98="", "", ROUND(20 * EXP(LN(50/20) * ((HOUR(Q98)*60 + MINUTE(Q98) - 30) / 30)), 2) * R98 * (1 - S98)))</f>
        <v/>
      </c>
      <c r="P98" t="str" cm="1">
        <f t="array" aca="1" ref="P98" ca="1">IF(AND(A98&lt;&gt;"", C98&lt;&gt;""),
   SUMPRODUCT(--(TEXT(DATE(YEAR(TODAY()), MONTH(TODAY()), ROW(INDIRECT("1:" &amp; DAY(EOMONTH(TODAY(), 0))))), "dddd")=C98)),
   "")</f>
        <v/>
      </c>
      <c r="Q98" s="12"/>
      <c r="R98" s="11" t="str">
        <f t="shared" si="7"/>
        <v/>
      </c>
      <c r="U98" s="13"/>
    </row>
    <row r="99" spans="2:21" ht="18" x14ac:dyDescent="0.35">
      <c r="B99" t="str">
        <f>IF(A99="", "", IF(Q99="", "", IF(Q99=TIME(0,30,0), "Half Hour", IF(Q99=TIME(1,0,0), "Hour", TEXT(Q99*1440, "0") &amp; " Minutes"))))</f>
        <v/>
      </c>
      <c r="D99" s="9" t="str">
        <f t="shared" si="8"/>
        <v/>
      </c>
      <c r="E99" t="str">
        <f t="shared" si="9"/>
        <v/>
      </c>
      <c r="F99" s="9" t="str">
        <f t="shared" si="10"/>
        <v/>
      </c>
      <c r="G99" s="10"/>
      <c r="H99" s="10" t="str">
        <f>IF(A99="","",G99+Q99)</f>
        <v/>
      </c>
      <c r="M99" t="str">
        <f>IF(A99="","",IF(Q99="", "", ROUND(20 * EXP(LN(50/20) * ((HOUR(Q99)*60 + MINUTE(Q99) - 30) / 30)), 2) * R99 * (1 - S99)))</f>
        <v/>
      </c>
      <c r="P99" t="str" cm="1">
        <f t="array" aca="1" ref="P99" ca="1">IF(AND(A99&lt;&gt;"", C99&lt;&gt;""),
   SUMPRODUCT(--(TEXT(DATE(YEAR(TODAY()), MONTH(TODAY()), ROW(INDIRECT("1:" &amp; DAY(EOMONTH(TODAY(), 0))))), "dddd")=C99)),
   "")</f>
        <v/>
      </c>
      <c r="Q99" s="12"/>
      <c r="R99" s="11" t="str">
        <f t="shared" si="7"/>
        <v/>
      </c>
      <c r="U99" s="13"/>
    </row>
    <row r="100" spans="2:21" ht="18" x14ac:dyDescent="0.35">
      <c r="B100" t="str">
        <f>IF(A100="", "", IF(Q100="", "", IF(Q100=TIME(0,30,0), "Half Hour", IF(Q100=TIME(1,0,0), "Hour", TEXT(Q100*1440, "0") &amp; " Minutes"))))</f>
        <v/>
      </c>
      <c r="D100" s="9" t="str">
        <f t="shared" si="8"/>
        <v/>
      </c>
      <c r="E100" t="str">
        <f t="shared" si="9"/>
        <v/>
      </c>
      <c r="F100" s="9" t="str">
        <f t="shared" si="10"/>
        <v/>
      </c>
      <c r="G100" s="10"/>
      <c r="H100" s="10" t="str">
        <f>IF(A100="","",G100+Q100)</f>
        <v/>
      </c>
      <c r="M100" t="str">
        <f>IF(A100="","",IF(Q100="", "", ROUND(20 * EXP(LN(50/20) * ((HOUR(Q100)*60 + MINUTE(Q100) - 30) / 30)), 2) * R100 * (1 - S100)))</f>
        <v/>
      </c>
      <c r="P100" t="str" cm="1">
        <f t="array" aca="1" ref="P100" ca="1">IF(AND(A100&lt;&gt;"", C100&lt;&gt;""),
   SUMPRODUCT(--(TEXT(DATE(YEAR(TODAY()), MONTH(TODAY()), ROW(INDIRECT("1:" &amp; DAY(EOMONTH(TODAY(), 0))))), "dddd")=C100)),
   "")</f>
        <v/>
      </c>
      <c r="Q100" s="12"/>
      <c r="R100" s="11" t="str">
        <f t="shared" si="7"/>
        <v/>
      </c>
      <c r="U100" s="13"/>
    </row>
    <row r="101" spans="2:21" ht="18" x14ac:dyDescent="0.35">
      <c r="B101" t="str">
        <f>IF(A101="", "", IF(Q101="", "", IF(Q101=TIME(0,30,0), "Half Hour", IF(Q101=TIME(1,0,0), "Hour", TEXT(Q101*1440, "0") &amp; " Minutes"))))</f>
        <v/>
      </c>
      <c r="D101" s="9" t="str">
        <f t="shared" si="8"/>
        <v/>
      </c>
      <c r="E101" t="str">
        <f t="shared" si="9"/>
        <v/>
      </c>
      <c r="F101" s="9" t="str">
        <f t="shared" si="10"/>
        <v/>
      </c>
      <c r="G101" s="10"/>
      <c r="H101" s="10" t="str">
        <f>IF(A101="","",G101+Q101)</f>
        <v/>
      </c>
      <c r="M101" t="str">
        <f>IF(A101="","",IF(Q101="", "", ROUND(20 * EXP(LN(50/20) * ((HOUR(Q101)*60 + MINUTE(Q101) - 30) / 30)), 2) * R101 * (1 - S101)))</f>
        <v/>
      </c>
      <c r="P101" t="str" cm="1">
        <f t="array" aca="1" ref="P101" ca="1">IF(AND(A101&lt;&gt;"", C101&lt;&gt;""),
   SUMPRODUCT(--(TEXT(DATE(YEAR(TODAY()), MONTH(TODAY()), ROW(INDIRECT("1:" &amp; DAY(EOMONTH(TODAY(), 0))))), "dddd")=C101)),
   "")</f>
        <v/>
      </c>
      <c r="Q101" s="12"/>
      <c r="R101" s="11" t="str">
        <f t="shared" si="7"/>
        <v/>
      </c>
      <c r="U101" s="13"/>
    </row>
    <row r="102" spans="2:21" ht="18" x14ac:dyDescent="0.35">
      <c r="B102" t="str">
        <f>IF(A102="", "", IF(Q102="", "", IF(Q102=TIME(0,30,0), "Half Hour", IF(Q102=TIME(1,0,0), "Hour", TEXT(Q102*1440, "0") &amp; " Minutes"))))</f>
        <v/>
      </c>
      <c r="D102" s="9" t="str">
        <f t="shared" si="8"/>
        <v/>
      </c>
      <c r="E102" t="str">
        <f t="shared" si="9"/>
        <v/>
      </c>
      <c r="F102" s="9" t="str">
        <f t="shared" si="10"/>
        <v/>
      </c>
      <c r="G102" s="10"/>
      <c r="H102" s="10" t="str">
        <f>IF(A102="","",G102+Q102)</f>
        <v/>
      </c>
      <c r="M102" t="str">
        <f>IF(A102="","",IF(Q102="", "", ROUND(20 * EXP(LN(50/20) * ((HOUR(Q102)*60 + MINUTE(Q102) - 30) / 30)), 2) * R102 * (1 - S102)))</f>
        <v/>
      </c>
      <c r="P102" t="str" cm="1">
        <f t="array" aca="1" ref="P102" ca="1">IF(AND(A102&lt;&gt;"", C102&lt;&gt;""),
   SUMPRODUCT(--(TEXT(DATE(YEAR(TODAY()), MONTH(TODAY()), ROW(INDIRECT("1:" &amp; DAY(EOMONTH(TODAY(), 0))))), "dddd")=C102)),
   "")</f>
        <v/>
      </c>
      <c r="Q102" s="12"/>
      <c r="R102" s="11" t="str">
        <f t="shared" si="7"/>
        <v/>
      </c>
      <c r="U102" s="13"/>
    </row>
    <row r="103" spans="2:21" ht="18" x14ac:dyDescent="0.35">
      <c r="B103" t="str">
        <f>IF(A103="", "", IF(Q103="", "", IF(Q103=TIME(0,30,0), "Half Hour", IF(Q103=TIME(1,0,0), "Hour", TEXT(Q103*1440, "0") &amp; " Minutes"))))</f>
        <v/>
      </c>
      <c r="D103" s="9" t="str">
        <f t="shared" si="8"/>
        <v/>
      </c>
      <c r="E103" t="str">
        <f t="shared" si="9"/>
        <v/>
      </c>
      <c r="F103" s="9" t="str">
        <f t="shared" si="10"/>
        <v/>
      </c>
      <c r="G103" s="10"/>
      <c r="H103" s="10" t="str">
        <f>IF(A103="","",G103+Q103)</f>
        <v/>
      </c>
      <c r="M103" t="str">
        <f>IF(A103="","",IF(Q103="", "", ROUND(20 * EXP(LN(50/20) * ((HOUR(Q103)*60 + MINUTE(Q103) - 30) / 30)), 2) * R103 * (1 - S103)))</f>
        <v/>
      </c>
      <c r="P103" t="str" cm="1">
        <f t="array" aca="1" ref="P103" ca="1">IF(AND(A103&lt;&gt;"", C103&lt;&gt;""),
   SUMPRODUCT(--(TEXT(DATE(YEAR(TODAY()), MONTH(TODAY()), ROW(INDIRECT("1:" &amp; DAY(EOMONTH(TODAY(), 0))))), "dddd")=C103)),
   "")</f>
        <v/>
      </c>
      <c r="Q103" s="12"/>
      <c r="R103" s="11" t="str">
        <f t="shared" si="7"/>
        <v/>
      </c>
      <c r="U103" s="13"/>
    </row>
    <row r="104" spans="2:21" ht="18" x14ac:dyDescent="0.35">
      <c r="B104" t="str">
        <f>IF(A104="", "", IF(Q104="", "", IF(Q104=TIME(0,30,0), "Half Hour", IF(Q104=TIME(1,0,0), "Hour", TEXT(Q104*1440, "0") &amp; " Minutes"))))</f>
        <v/>
      </c>
      <c r="D104" s="9" t="str">
        <f t="shared" si="8"/>
        <v/>
      </c>
      <c r="E104" t="str">
        <f t="shared" si="9"/>
        <v/>
      </c>
      <c r="F104" s="9" t="str">
        <f t="shared" si="10"/>
        <v/>
      </c>
      <c r="G104" s="10"/>
      <c r="H104" s="10" t="str">
        <f>IF(A104="","",G104+Q104)</f>
        <v/>
      </c>
      <c r="M104" t="str">
        <f>IF(A104="","",IF(Q104="", "", ROUND(20 * EXP(LN(50/20) * ((HOUR(Q104)*60 + MINUTE(Q104) - 30) / 30)), 2) * R104 * (1 - S104)))</f>
        <v/>
      </c>
      <c r="P104" t="str" cm="1">
        <f t="array" aca="1" ref="P104" ca="1">IF(AND(A104&lt;&gt;"", C104&lt;&gt;""),
   SUMPRODUCT(--(TEXT(DATE(YEAR(TODAY()), MONTH(TODAY()), ROW(INDIRECT("1:" &amp; DAY(EOMONTH(TODAY(), 0))))), "dddd")=C104)),
   "")</f>
        <v/>
      </c>
      <c r="Q104" s="12"/>
      <c r="R104" s="11" t="str">
        <f t="shared" si="7"/>
        <v/>
      </c>
      <c r="U104" s="13"/>
    </row>
    <row r="105" spans="2:21" ht="18" x14ac:dyDescent="0.35">
      <c r="B105" t="str">
        <f>IF(A105="", "", IF(Q105="", "", IF(Q105=TIME(0,30,0), "Half Hour", IF(Q105=TIME(1,0,0), "Hour", TEXT(Q105*1440, "0") &amp; " Minutes"))))</f>
        <v/>
      </c>
      <c r="D105" s="9" t="str">
        <f t="shared" si="8"/>
        <v/>
      </c>
      <c r="E105" t="str">
        <f t="shared" si="9"/>
        <v/>
      </c>
      <c r="F105" s="9" t="str">
        <f t="shared" si="10"/>
        <v/>
      </c>
      <c r="G105" s="10"/>
      <c r="H105" s="10" t="str">
        <f>IF(A105="","",G105+Q105)</f>
        <v/>
      </c>
      <c r="M105" t="str">
        <f>IF(A105="","",IF(Q105="", "", ROUND(20 * EXP(LN(50/20) * ((HOUR(Q105)*60 + MINUTE(Q105) - 30) / 30)), 2) * R105 * (1 - S105)))</f>
        <v/>
      </c>
      <c r="P105" t="str" cm="1">
        <f t="array" aca="1" ref="P105" ca="1">IF(AND(A105&lt;&gt;"", C105&lt;&gt;""),
   SUMPRODUCT(--(TEXT(DATE(YEAR(TODAY()), MONTH(TODAY()), ROW(INDIRECT("1:" &amp; DAY(EOMONTH(TODAY(), 0))))), "dddd")=C105)),
   "")</f>
        <v/>
      </c>
      <c r="Q105" s="12"/>
      <c r="R105" s="11" t="str">
        <f t="shared" si="7"/>
        <v/>
      </c>
      <c r="U105" s="13"/>
    </row>
    <row r="106" spans="2:21" ht="18" x14ac:dyDescent="0.35">
      <c r="B106" t="str">
        <f>IF(A106="", "", IF(Q106="", "", IF(Q106=TIME(0,30,0), "Half Hour", IF(Q106=TIME(1,0,0), "Hour", TEXT(Q106*1440, "0") &amp; " Minutes"))))</f>
        <v/>
      </c>
      <c r="D106" s="9" t="str">
        <f t="shared" si="8"/>
        <v/>
      </c>
      <c r="E106" t="str">
        <f t="shared" si="9"/>
        <v/>
      </c>
      <c r="F106" s="9" t="str">
        <f t="shared" si="10"/>
        <v/>
      </c>
      <c r="G106" s="10"/>
      <c r="H106" s="10" t="str">
        <f>IF(A106="","",G106+Q106)</f>
        <v/>
      </c>
      <c r="M106" t="str">
        <f>IF(A106="","",IF(Q106="", "", ROUND(20 * EXP(LN(50/20) * ((HOUR(Q106)*60 + MINUTE(Q106) - 30) / 30)), 2) * R106 * (1 - S106)))</f>
        <v/>
      </c>
      <c r="P106" t="str" cm="1">
        <f t="array" aca="1" ref="P106" ca="1">IF(AND(A106&lt;&gt;"", C106&lt;&gt;""),
   SUMPRODUCT(--(TEXT(DATE(YEAR(TODAY()), MONTH(TODAY()), ROW(INDIRECT("1:" &amp; DAY(EOMONTH(TODAY(), 0))))), "dddd")=C106)),
   "")</f>
        <v/>
      </c>
      <c r="Q106" s="12"/>
      <c r="R106" s="11" t="str">
        <f t="shared" si="7"/>
        <v/>
      </c>
      <c r="U106" s="13"/>
    </row>
    <row r="107" spans="2:21" ht="18" x14ac:dyDescent="0.35">
      <c r="B107" t="str">
        <f>IF(A107="", "", IF(Q107="", "", IF(Q107=TIME(0,30,0), "Half Hour", IF(Q107=TIME(1,0,0), "Hour", TEXT(Q107*1440, "0") &amp; " Minutes"))))</f>
        <v/>
      </c>
      <c r="D107" s="9" t="str">
        <f t="shared" si="8"/>
        <v/>
      </c>
      <c r="E107" t="str">
        <f t="shared" si="9"/>
        <v/>
      </c>
      <c r="F107" s="9" t="str">
        <f t="shared" si="10"/>
        <v/>
      </c>
      <c r="G107" s="10"/>
      <c r="H107" s="10" t="str">
        <f>IF(A107="","",G107+Q107)</f>
        <v/>
      </c>
      <c r="M107" t="str">
        <f>IF(A107="","",IF(Q107="", "", ROUND(20 * EXP(LN(50/20) * ((HOUR(Q107)*60 + MINUTE(Q107) - 30) / 30)), 2) * R107 * (1 - S107)))</f>
        <v/>
      </c>
      <c r="P107" t="str" cm="1">
        <f t="array" aca="1" ref="P107" ca="1">IF(AND(A107&lt;&gt;"", C107&lt;&gt;""),
   SUMPRODUCT(--(TEXT(DATE(YEAR(TODAY()), MONTH(TODAY()), ROW(INDIRECT("1:" &amp; DAY(EOMONTH(TODAY(), 0))))), "dddd")=C107)),
   "")</f>
        <v/>
      </c>
      <c r="Q107" s="12"/>
      <c r="R107" s="11" t="str">
        <f t="shared" si="7"/>
        <v/>
      </c>
      <c r="U107" s="13"/>
    </row>
    <row r="108" spans="2:21" ht="18" x14ac:dyDescent="0.35">
      <c r="B108" t="str">
        <f>IF(A108="", "", IF(Q108="", "", IF(Q108=TIME(0,30,0), "Half Hour", IF(Q108=TIME(1,0,0), "Hour", TEXT(Q108*1440, "0") &amp; " Minutes"))))</f>
        <v/>
      </c>
      <c r="D108" s="9" t="str">
        <f t="shared" si="8"/>
        <v/>
      </c>
      <c r="E108" t="str">
        <f t="shared" si="9"/>
        <v/>
      </c>
      <c r="F108" s="9" t="str">
        <f t="shared" si="10"/>
        <v/>
      </c>
      <c r="G108" s="10"/>
      <c r="H108" s="10" t="str">
        <f>IF(A108="","",G108+Q108)</f>
        <v/>
      </c>
      <c r="M108" t="str">
        <f>IF(A108="","",IF(Q108="", "", ROUND(20 * EXP(LN(50/20) * ((HOUR(Q108)*60 + MINUTE(Q108) - 30) / 30)), 2) * R108 * (1 - S108)))</f>
        <v/>
      </c>
      <c r="P108" t="str" cm="1">
        <f t="array" aca="1" ref="P108" ca="1">IF(AND(A108&lt;&gt;"", C108&lt;&gt;""),
   SUMPRODUCT(--(TEXT(DATE(YEAR(TODAY()), MONTH(TODAY()), ROW(INDIRECT("1:" &amp; DAY(EOMONTH(TODAY(), 0))))), "dddd")=C108)),
   "")</f>
        <v/>
      </c>
      <c r="Q108" s="12"/>
      <c r="R108" s="11" t="str">
        <f t="shared" si="7"/>
        <v/>
      </c>
      <c r="U108" s="13"/>
    </row>
    <row r="109" spans="2:21" ht="18" x14ac:dyDescent="0.35">
      <c r="B109" t="str">
        <f>IF(A109="", "", IF(Q109="", "", IF(Q109=TIME(0,30,0), "Half Hour", IF(Q109=TIME(1,0,0), "Hour", TEXT(Q109*1440, "0") &amp; " Minutes"))))</f>
        <v/>
      </c>
      <c r="D109" s="9" t="str">
        <f t="shared" si="8"/>
        <v/>
      </c>
      <c r="E109" t="str">
        <f t="shared" si="9"/>
        <v/>
      </c>
      <c r="F109" s="9" t="str">
        <f t="shared" si="10"/>
        <v/>
      </c>
      <c r="G109" s="10"/>
      <c r="H109" s="10" t="str">
        <f>IF(A109="","",G109+Q109)</f>
        <v/>
      </c>
      <c r="M109" t="str">
        <f>IF(A109="","",IF(Q109="", "", ROUND(20 * EXP(LN(50/20) * ((HOUR(Q109)*60 + MINUTE(Q109) - 30) / 30)), 2) * R109 * (1 - S109)))</f>
        <v/>
      </c>
      <c r="P109" t="str" cm="1">
        <f t="array" aca="1" ref="P109" ca="1">IF(AND(A109&lt;&gt;"", C109&lt;&gt;""),
   SUMPRODUCT(--(TEXT(DATE(YEAR(TODAY()), MONTH(TODAY()), ROW(INDIRECT("1:" &amp; DAY(EOMONTH(TODAY(), 0))))), "dddd")=C109)),
   "")</f>
        <v/>
      </c>
      <c r="Q109" s="12"/>
      <c r="R109" s="11" t="str">
        <f t="shared" si="7"/>
        <v/>
      </c>
      <c r="U109" s="13"/>
    </row>
    <row r="110" spans="2:21" ht="18" x14ac:dyDescent="0.35">
      <c r="B110" t="str">
        <f>IF(A110="", "", IF(Q110="", "", IF(Q110=TIME(0,30,0), "Half Hour", IF(Q110=TIME(1,0,0), "Hour", TEXT(Q110*1440, "0") &amp; " Minutes"))))</f>
        <v/>
      </c>
      <c r="D110" s="9" t="str">
        <f t="shared" si="8"/>
        <v/>
      </c>
      <c r="E110" t="str">
        <f t="shared" si="9"/>
        <v/>
      </c>
      <c r="F110" s="9" t="str">
        <f t="shared" si="10"/>
        <v/>
      </c>
      <c r="G110" s="10"/>
      <c r="H110" s="10" t="str">
        <f>IF(A110="","",G110+Q110)</f>
        <v/>
      </c>
      <c r="M110" t="str">
        <f>IF(A110="","",IF(Q110="", "", ROUND(20 * EXP(LN(50/20) * ((HOUR(Q110)*60 + MINUTE(Q110) - 30) / 30)), 2) * R110 * (1 - S110)))</f>
        <v/>
      </c>
      <c r="P110" t="str" cm="1">
        <f t="array" aca="1" ref="P110" ca="1">IF(AND(A110&lt;&gt;"", C110&lt;&gt;""),
   SUMPRODUCT(--(TEXT(DATE(YEAR(TODAY()), MONTH(TODAY()), ROW(INDIRECT("1:" &amp; DAY(EOMONTH(TODAY(), 0))))), "dddd")=C110)),
   "")</f>
        <v/>
      </c>
      <c r="Q110" s="12"/>
      <c r="R110" s="11" t="str">
        <f t="shared" si="7"/>
        <v/>
      </c>
      <c r="U110" s="13"/>
    </row>
    <row r="111" spans="2:21" ht="18" x14ac:dyDescent="0.35">
      <c r="B111" t="str">
        <f>IF(A111="", "", IF(Q111="", "", IF(Q111=TIME(0,30,0), "Half Hour", IF(Q111=TIME(1,0,0), "Hour", TEXT(Q111*1440, "0") &amp; " Minutes"))))</f>
        <v/>
      </c>
      <c r="D111" s="9" t="str">
        <f t="shared" si="8"/>
        <v/>
      </c>
      <c r="E111" t="str">
        <f t="shared" si="9"/>
        <v/>
      </c>
      <c r="F111" s="9" t="str">
        <f t="shared" si="10"/>
        <v/>
      </c>
      <c r="G111" s="10"/>
      <c r="H111" s="10" t="str">
        <f>IF(A111="","",G111+Q111)</f>
        <v/>
      </c>
      <c r="M111" t="str">
        <f>IF(A111="","",IF(Q111="", "", ROUND(20 * EXP(LN(50/20) * ((HOUR(Q111)*60 + MINUTE(Q111) - 30) / 30)), 2) * R111 * (1 - S111)))</f>
        <v/>
      </c>
      <c r="P111" t="str" cm="1">
        <f t="array" aca="1" ref="P111" ca="1">IF(AND(A111&lt;&gt;"", C111&lt;&gt;""),
   SUMPRODUCT(--(TEXT(DATE(YEAR(TODAY()), MONTH(TODAY()), ROW(INDIRECT("1:" &amp; DAY(EOMONTH(TODAY(), 0))))), "dddd")=C111)),
   "")</f>
        <v/>
      </c>
      <c r="Q111" s="12"/>
      <c r="R111" s="11" t="str">
        <f t="shared" si="7"/>
        <v/>
      </c>
      <c r="U111" s="13"/>
    </row>
    <row r="112" spans="2:21" ht="18" x14ac:dyDescent="0.35">
      <c r="B112" t="str">
        <f>IF(A112="", "", IF(Q112="", "", IF(Q112=TIME(0,30,0), "Half Hour", IF(Q112=TIME(1,0,0), "Hour", TEXT(Q112*1440, "0") &amp; " Minutes"))))</f>
        <v/>
      </c>
      <c r="D112" s="9" t="str">
        <f t="shared" si="8"/>
        <v/>
      </c>
      <c r="E112" t="str">
        <f t="shared" si="9"/>
        <v/>
      </c>
      <c r="F112" s="9" t="str">
        <f t="shared" si="10"/>
        <v/>
      </c>
      <c r="G112" s="10"/>
      <c r="H112" s="10" t="str">
        <f>IF(A112="","",G112+Q112)</f>
        <v/>
      </c>
      <c r="M112" t="str">
        <f>IF(A112="","",IF(Q112="", "", ROUND(20 * EXP(LN(50/20) * ((HOUR(Q112)*60 + MINUTE(Q112) - 30) / 30)), 2) * R112 * (1 - S112)))</f>
        <v/>
      </c>
      <c r="P112" t="str" cm="1">
        <f t="array" aca="1" ref="P112" ca="1">IF(AND(A112&lt;&gt;"", C112&lt;&gt;""),
   SUMPRODUCT(--(TEXT(DATE(YEAR(TODAY()), MONTH(TODAY()), ROW(INDIRECT("1:" &amp; DAY(EOMONTH(TODAY(), 0))))), "dddd")=C112)),
   "")</f>
        <v/>
      </c>
      <c r="Q112" s="12"/>
      <c r="R112" s="11" t="str">
        <f t="shared" si="7"/>
        <v/>
      </c>
      <c r="U112" s="13"/>
    </row>
    <row r="113" spans="2:21" ht="18" x14ac:dyDescent="0.35">
      <c r="B113" t="str">
        <f>IF(A113="", "", IF(Q113="", "", IF(Q113=TIME(0,30,0), "Half Hour", IF(Q113=TIME(1,0,0), "Hour", TEXT(Q113*1440, "0") &amp; " Minutes"))))</f>
        <v/>
      </c>
      <c r="D113" s="9" t="str">
        <f t="shared" si="8"/>
        <v/>
      </c>
      <c r="E113" t="str">
        <f t="shared" si="9"/>
        <v/>
      </c>
      <c r="F113" s="9" t="str">
        <f t="shared" si="10"/>
        <v/>
      </c>
      <c r="G113" s="10"/>
      <c r="H113" s="10" t="str">
        <f>IF(A113="","",G113+Q113)</f>
        <v/>
      </c>
      <c r="M113" t="str">
        <f>IF(A113="","",IF(Q113="", "", ROUND(20 * EXP(LN(50/20) * ((HOUR(Q113)*60 + MINUTE(Q113) - 30) / 30)), 2) * R113 * (1 - S113)))</f>
        <v/>
      </c>
      <c r="P113" t="str" cm="1">
        <f t="array" aca="1" ref="P113" ca="1">IF(AND(A113&lt;&gt;"", C113&lt;&gt;""),
   SUMPRODUCT(--(TEXT(DATE(YEAR(TODAY()), MONTH(TODAY()), ROW(INDIRECT("1:" &amp; DAY(EOMONTH(TODAY(), 0))))), "dddd")=C113)),
   "")</f>
        <v/>
      </c>
      <c r="Q113" s="12"/>
      <c r="R113" s="11" t="str">
        <f t="shared" si="7"/>
        <v/>
      </c>
      <c r="U113" s="13"/>
    </row>
    <row r="114" spans="2:21" ht="18" x14ac:dyDescent="0.35">
      <c r="B114" t="str">
        <f>IF(A114="", "", IF(Q114="", "", IF(Q114=TIME(0,30,0), "Half Hour", IF(Q114=TIME(1,0,0), "Hour", TEXT(Q114*1440, "0") &amp; " Minutes"))))</f>
        <v/>
      </c>
      <c r="D114" s="9" t="str">
        <f t="shared" si="8"/>
        <v/>
      </c>
      <c r="E114" t="str">
        <f t="shared" si="9"/>
        <v/>
      </c>
      <c r="F114" s="9" t="str">
        <f t="shared" si="10"/>
        <v/>
      </c>
      <c r="G114" s="10"/>
      <c r="H114" s="10" t="str">
        <f>IF(A114="","",G114+Q114)</f>
        <v/>
      </c>
      <c r="M114" t="str">
        <f>IF(A114="","",IF(Q114="", "", ROUND(20 * EXP(LN(50/20) * ((HOUR(Q114)*60 + MINUTE(Q114) - 30) / 30)), 2) * R114 * (1 - S114)))</f>
        <v/>
      </c>
      <c r="P114" t="str" cm="1">
        <f t="array" aca="1" ref="P114" ca="1">IF(AND(A114&lt;&gt;"", C114&lt;&gt;""),
   SUMPRODUCT(--(TEXT(DATE(YEAR(TODAY()), MONTH(TODAY()), ROW(INDIRECT("1:" &amp; DAY(EOMONTH(TODAY(), 0))))), "dddd")=C114)),
   "")</f>
        <v/>
      </c>
      <c r="Q114" s="12"/>
      <c r="R114" s="11" t="str">
        <f t="shared" si="7"/>
        <v/>
      </c>
      <c r="U114" s="13"/>
    </row>
    <row r="115" spans="2:21" ht="18" x14ac:dyDescent="0.35">
      <c r="B115" t="str">
        <f>IF(A115="", "", IF(Q115="", "", IF(Q115=TIME(0,30,0), "Half Hour", IF(Q115=TIME(1,0,0), "Hour", TEXT(Q115*1440, "0") &amp; " Minutes"))))</f>
        <v/>
      </c>
      <c r="D115" s="9" t="str">
        <f t="shared" si="8"/>
        <v/>
      </c>
      <c r="E115" t="str">
        <f t="shared" si="9"/>
        <v/>
      </c>
      <c r="F115" s="9" t="str">
        <f t="shared" si="10"/>
        <v/>
      </c>
      <c r="G115" s="10"/>
      <c r="H115" s="10" t="str">
        <f>IF(A115="","",G115+Q115)</f>
        <v/>
      </c>
      <c r="M115" t="str">
        <f>IF(A115="","",IF(Q115="", "", ROUND(20 * EXP(LN(50/20) * ((HOUR(Q115)*60 + MINUTE(Q115) - 30) / 30)), 2) * R115 * (1 - S115)))</f>
        <v/>
      </c>
      <c r="P115" t="str" cm="1">
        <f t="array" aca="1" ref="P115" ca="1">IF(AND(A115&lt;&gt;"", C115&lt;&gt;""),
   SUMPRODUCT(--(TEXT(DATE(YEAR(TODAY()), MONTH(TODAY()), ROW(INDIRECT("1:" &amp; DAY(EOMONTH(TODAY(), 0))))), "dddd")=C115)),
   "")</f>
        <v/>
      </c>
      <c r="Q115" s="12"/>
      <c r="R115" s="11" t="str">
        <f t="shared" si="7"/>
        <v/>
      </c>
      <c r="U115" s="13"/>
    </row>
    <row r="116" spans="2:21" ht="18" x14ac:dyDescent="0.35">
      <c r="B116" t="str">
        <f>IF(A116="", "", IF(Q116="", "", IF(Q116=TIME(0,30,0), "Half Hour", IF(Q116=TIME(1,0,0), "Hour", TEXT(Q116*1440, "0") &amp; " Minutes"))))</f>
        <v/>
      </c>
      <c r="D116" s="9" t="str">
        <f t="shared" si="8"/>
        <v/>
      </c>
      <c r="E116" t="str">
        <f t="shared" si="9"/>
        <v/>
      </c>
      <c r="F116" s="9" t="str">
        <f t="shared" si="10"/>
        <v/>
      </c>
      <c r="G116" s="10"/>
      <c r="H116" s="10" t="str">
        <f>IF(A116="","",G116+Q116)</f>
        <v/>
      </c>
      <c r="M116" t="str">
        <f>IF(A116="","",IF(Q116="", "", ROUND(20 * EXP(LN(50/20) * ((HOUR(Q116)*60 + MINUTE(Q116) - 30) / 30)), 2) * R116 * (1 - S116)))</f>
        <v/>
      </c>
      <c r="P116" t="str" cm="1">
        <f t="array" aca="1" ref="P116" ca="1">IF(AND(A116&lt;&gt;"", C116&lt;&gt;""),
   SUMPRODUCT(--(TEXT(DATE(YEAR(TODAY()), MONTH(TODAY()), ROW(INDIRECT("1:" &amp; DAY(EOMONTH(TODAY(), 0))))), "dddd")=C116)),
   "")</f>
        <v/>
      </c>
      <c r="Q116" s="12"/>
      <c r="R116" s="11" t="str">
        <f t="shared" si="7"/>
        <v/>
      </c>
      <c r="U116" s="13"/>
    </row>
    <row r="117" spans="2:21" ht="18" x14ac:dyDescent="0.35">
      <c r="B117" t="str">
        <f>IF(A117="", "", IF(Q117="", "", IF(Q117=TIME(0,30,0), "Half Hour", IF(Q117=TIME(1,0,0), "Hour", TEXT(Q117*1440, "0") &amp; " Minutes"))))</f>
        <v/>
      </c>
      <c r="D117" s="9" t="str">
        <f t="shared" si="8"/>
        <v/>
      </c>
      <c r="E117" t="str">
        <f t="shared" si="9"/>
        <v/>
      </c>
      <c r="F117" s="9" t="str">
        <f t="shared" si="10"/>
        <v/>
      </c>
      <c r="G117" s="10"/>
      <c r="H117" s="10" t="str">
        <f>IF(A117="","",G117+Q117)</f>
        <v/>
      </c>
      <c r="M117" t="str">
        <f>IF(A117="","",IF(Q117="", "", ROUND(20 * EXP(LN(50/20) * ((HOUR(Q117)*60 + MINUTE(Q117) - 30) / 30)), 2) * R117 * (1 - S117)))</f>
        <v/>
      </c>
      <c r="P117" t="str" cm="1">
        <f t="array" aca="1" ref="P117" ca="1">IF(AND(A117&lt;&gt;"", C117&lt;&gt;""),
   SUMPRODUCT(--(TEXT(DATE(YEAR(TODAY()), MONTH(TODAY()), ROW(INDIRECT("1:" &amp; DAY(EOMONTH(TODAY(), 0))))), "dddd")=C117)),
   "")</f>
        <v/>
      </c>
      <c r="Q117" s="12"/>
      <c r="R117" s="11" t="str">
        <f t="shared" si="7"/>
        <v/>
      </c>
      <c r="U117" s="13"/>
    </row>
    <row r="118" spans="2:21" ht="18" x14ac:dyDescent="0.35">
      <c r="B118" t="str">
        <f>IF(A118="", "", IF(Q118="", "", IF(Q118=TIME(0,30,0), "Half Hour", IF(Q118=TIME(1,0,0), "Hour", TEXT(Q118*1440, "0") &amp; " Minutes"))))</f>
        <v/>
      </c>
      <c r="D118" s="9" t="str">
        <f t="shared" si="8"/>
        <v/>
      </c>
      <c r="E118" t="str">
        <f t="shared" si="9"/>
        <v/>
      </c>
      <c r="F118" s="9" t="str">
        <f t="shared" si="10"/>
        <v/>
      </c>
      <c r="G118" s="10"/>
      <c r="H118" s="10" t="str">
        <f>IF(A118="","",G118+Q118)</f>
        <v/>
      </c>
      <c r="M118" t="str">
        <f>IF(A118="","",IF(Q118="", "", ROUND(20 * EXP(LN(50/20) * ((HOUR(Q118)*60 + MINUTE(Q118) - 30) / 30)), 2) * R118 * (1 - S118)))</f>
        <v/>
      </c>
      <c r="P118" t="str" cm="1">
        <f t="array" aca="1" ref="P118" ca="1">IF(AND(A118&lt;&gt;"", C118&lt;&gt;""),
   SUMPRODUCT(--(TEXT(DATE(YEAR(TODAY()), MONTH(TODAY()), ROW(INDIRECT("1:" &amp; DAY(EOMONTH(TODAY(), 0))))), "dddd")=C118)),
   "")</f>
        <v/>
      </c>
      <c r="Q118" s="12"/>
      <c r="R118" s="11" t="str">
        <f t="shared" si="7"/>
        <v/>
      </c>
      <c r="U118" s="13"/>
    </row>
    <row r="119" spans="2:21" ht="18" x14ac:dyDescent="0.35">
      <c r="B119" t="str">
        <f>IF(A119="", "", IF(Q119="", "", IF(Q119=TIME(0,30,0), "Half Hour", IF(Q119=TIME(1,0,0), "Hour", TEXT(Q119*1440, "0") &amp; " Minutes"))))</f>
        <v/>
      </c>
      <c r="D119" s="9" t="str">
        <f t="shared" si="8"/>
        <v/>
      </c>
      <c r="E119" t="str">
        <f t="shared" si="9"/>
        <v/>
      </c>
      <c r="F119" s="9" t="str">
        <f t="shared" si="10"/>
        <v/>
      </c>
      <c r="G119" s="10"/>
      <c r="H119" s="10" t="str">
        <f>IF(A119="","",G119+Q119)</f>
        <v/>
      </c>
      <c r="M119" t="str">
        <f>IF(A119="","",IF(Q119="", "", ROUND(20 * EXP(LN(50/20) * ((HOUR(Q119)*60 + MINUTE(Q119) - 30) / 30)), 2) * R119 * (1 - S119)))</f>
        <v/>
      </c>
      <c r="P119" t="str" cm="1">
        <f t="array" aca="1" ref="P119" ca="1">IF(AND(A119&lt;&gt;"", C119&lt;&gt;""),
   SUMPRODUCT(--(TEXT(DATE(YEAR(TODAY()), MONTH(TODAY()), ROW(INDIRECT("1:" &amp; DAY(EOMONTH(TODAY(), 0))))), "dddd")=C119)),
   "")</f>
        <v/>
      </c>
      <c r="Q119" s="12"/>
      <c r="R119" s="11" t="str">
        <f t="shared" si="7"/>
        <v/>
      </c>
      <c r="U119" s="13"/>
    </row>
    <row r="120" spans="2:21" ht="18" x14ac:dyDescent="0.35">
      <c r="B120" t="str">
        <f>IF(A120="", "", IF(Q120="", "", IF(Q120=TIME(0,30,0), "Half Hour", IF(Q120=TIME(1,0,0), "Hour", TEXT(Q120*1440, "0") &amp; " Minutes"))))</f>
        <v/>
      </c>
      <c r="D120" s="9" t="str">
        <f t="shared" si="8"/>
        <v/>
      </c>
      <c r="E120" t="str">
        <f t="shared" si="9"/>
        <v/>
      </c>
      <c r="F120" s="9" t="str">
        <f t="shared" si="10"/>
        <v/>
      </c>
      <c r="G120" s="10"/>
      <c r="H120" s="10" t="str">
        <f>IF(A120="","",G120+Q120)</f>
        <v/>
      </c>
      <c r="M120" t="str">
        <f>IF(A120="","",IF(Q120="", "", ROUND(20 * EXP(LN(50/20) * ((HOUR(Q120)*60 + MINUTE(Q120) - 30) / 30)), 2) * R120 * (1 - S120)))</f>
        <v/>
      </c>
      <c r="P120" t="str" cm="1">
        <f t="array" aca="1" ref="P120" ca="1">IF(AND(A120&lt;&gt;"", C120&lt;&gt;""),
   SUMPRODUCT(--(TEXT(DATE(YEAR(TODAY()), MONTH(TODAY()), ROW(INDIRECT("1:" &amp; DAY(EOMONTH(TODAY(), 0))))), "dddd")=C120)),
   "")</f>
        <v/>
      </c>
      <c r="Q120" s="12"/>
      <c r="R120" s="11" t="str">
        <f t="shared" si="7"/>
        <v/>
      </c>
      <c r="U120" s="13"/>
    </row>
    <row r="121" spans="2:21" ht="18" x14ac:dyDescent="0.35">
      <c r="B121" t="str">
        <f>IF(A121="", "", IF(Q121="", "", IF(Q121=TIME(0,30,0), "Half Hour", IF(Q121=TIME(1,0,0), "Hour", TEXT(Q121*1440, "0") &amp; " Minutes"))))</f>
        <v/>
      </c>
      <c r="D121" s="9" t="str">
        <f t="shared" si="8"/>
        <v/>
      </c>
      <c r="E121" t="str">
        <f t="shared" si="9"/>
        <v/>
      </c>
      <c r="F121" s="9" t="str">
        <f t="shared" si="10"/>
        <v/>
      </c>
      <c r="G121" s="10"/>
      <c r="H121" s="10" t="str">
        <f>IF(A121="","",G121+Q121)</f>
        <v/>
      </c>
      <c r="M121" t="str">
        <f>IF(A121="","",IF(Q121="", "", ROUND(20 * EXP(LN(50/20) * ((HOUR(Q121)*60 + MINUTE(Q121) - 30) / 30)), 2) * R121 * (1 - S121)))</f>
        <v/>
      </c>
      <c r="P121" t="str" cm="1">
        <f t="array" aca="1" ref="P121" ca="1">IF(AND(A121&lt;&gt;"", C121&lt;&gt;""),
   SUMPRODUCT(--(TEXT(DATE(YEAR(TODAY()), MONTH(TODAY()), ROW(INDIRECT("1:" &amp; DAY(EOMONTH(TODAY(), 0))))), "dddd")=C121)),
   "")</f>
        <v/>
      </c>
      <c r="Q121" s="12"/>
      <c r="R121" s="11" t="str">
        <f t="shared" si="7"/>
        <v/>
      </c>
      <c r="U121" s="13"/>
    </row>
    <row r="122" spans="2:21" ht="18" x14ac:dyDescent="0.35">
      <c r="B122" t="str">
        <f>IF(A122="", "", IF(Q122="", "", IF(Q122=TIME(0,30,0), "Half Hour", IF(Q122=TIME(1,0,0), "Hour", TEXT(Q122*1440, "0") &amp; " Minutes"))))</f>
        <v/>
      </c>
      <c r="D122" s="9" t="str">
        <f t="shared" si="8"/>
        <v/>
      </c>
      <c r="E122" t="str">
        <f t="shared" si="9"/>
        <v/>
      </c>
      <c r="F122" s="9" t="str">
        <f t="shared" si="10"/>
        <v/>
      </c>
      <c r="G122" s="10"/>
      <c r="H122" s="10" t="str">
        <f>IF(A122="","",G122+Q122)</f>
        <v/>
      </c>
      <c r="M122" t="str">
        <f>IF(A122="","",IF(Q122="", "", ROUND(20 * EXP(LN(50/20) * ((HOUR(Q122)*60 + MINUTE(Q122) - 30) / 30)), 2) * R122 * (1 - S122)))</f>
        <v/>
      </c>
      <c r="P122" t="str" cm="1">
        <f t="array" aca="1" ref="P122" ca="1">IF(AND(A122&lt;&gt;"", C122&lt;&gt;""),
   SUMPRODUCT(--(TEXT(DATE(YEAR(TODAY()), MONTH(TODAY()), ROW(INDIRECT("1:" &amp; DAY(EOMONTH(TODAY(), 0))))), "dddd")=C122)),
   "")</f>
        <v/>
      </c>
      <c r="Q122" s="12"/>
      <c r="R122" s="11" t="str">
        <f t="shared" si="7"/>
        <v/>
      </c>
      <c r="U122" s="13"/>
    </row>
    <row r="123" spans="2:21" ht="18" x14ac:dyDescent="0.35">
      <c r="B123" t="str">
        <f>IF(A123="", "", IF(Q123="", "", IF(Q123=TIME(0,30,0), "Half Hour", IF(Q123=TIME(1,0,0), "Hour", TEXT(Q123*1440, "0") &amp; " Minutes"))))</f>
        <v/>
      </c>
      <c r="D123" s="9" t="str">
        <f t="shared" si="8"/>
        <v/>
      </c>
      <c r="E123" t="str">
        <f t="shared" si="9"/>
        <v/>
      </c>
      <c r="F123" s="9" t="str">
        <f t="shared" si="10"/>
        <v/>
      </c>
      <c r="G123" s="10"/>
      <c r="H123" s="10" t="str">
        <f>IF(A123="","",G123+Q123)</f>
        <v/>
      </c>
      <c r="M123" t="str">
        <f>IF(A123="","",IF(Q123="", "", ROUND(20 * EXP(LN(50/20) * ((HOUR(Q123)*60 + MINUTE(Q123) - 30) / 30)), 2) * R123 * (1 - S123)))</f>
        <v/>
      </c>
      <c r="P123" t="str" cm="1">
        <f t="array" aca="1" ref="P123" ca="1">IF(AND(A123&lt;&gt;"", C123&lt;&gt;""),
   SUMPRODUCT(--(TEXT(DATE(YEAR(TODAY()), MONTH(TODAY()), ROW(INDIRECT("1:" &amp; DAY(EOMONTH(TODAY(), 0))))), "dddd")=C123)),
   "")</f>
        <v/>
      </c>
      <c r="Q123" s="12"/>
      <c r="R123" s="11" t="str">
        <f t="shared" si="7"/>
        <v/>
      </c>
      <c r="U123" s="13"/>
    </row>
    <row r="124" spans="2:21" ht="18" x14ac:dyDescent="0.35">
      <c r="B124" t="str">
        <f>IF(A124="", "", IF(Q124="", "", IF(Q124=TIME(0,30,0), "Half Hour", IF(Q124=TIME(1,0,0), "Hour", TEXT(Q124*1440, "0") &amp; " Minutes"))))</f>
        <v/>
      </c>
      <c r="D124" s="9" t="str">
        <f t="shared" si="8"/>
        <v/>
      </c>
      <c r="E124" t="str">
        <f t="shared" si="9"/>
        <v/>
      </c>
      <c r="F124" s="9" t="str">
        <f t="shared" si="10"/>
        <v/>
      </c>
      <c r="G124" s="10"/>
      <c r="H124" s="10" t="str">
        <f>IF(A124="","",G124+Q124)</f>
        <v/>
      </c>
      <c r="M124" t="str">
        <f>IF(A124="","",IF(Q124="", "", ROUND(20 * EXP(LN(50/20) * ((HOUR(Q124)*60 + MINUTE(Q124) - 30) / 30)), 2) * R124 * (1 - S124)))</f>
        <v/>
      </c>
      <c r="P124" t="str" cm="1">
        <f t="array" aca="1" ref="P124" ca="1">IF(AND(A124&lt;&gt;"", C124&lt;&gt;""),
   SUMPRODUCT(--(TEXT(DATE(YEAR(TODAY()), MONTH(TODAY()), ROW(INDIRECT("1:" &amp; DAY(EOMONTH(TODAY(), 0))))), "dddd")=C124)),
   "")</f>
        <v/>
      </c>
      <c r="Q124" s="12"/>
      <c r="R124" s="11" t="str">
        <f t="shared" si="7"/>
        <v/>
      </c>
      <c r="U124" s="13"/>
    </row>
    <row r="125" spans="2:21" ht="18" x14ac:dyDescent="0.35">
      <c r="B125" t="str">
        <f>IF(A125="", "", IF(Q125="", "", IF(Q125=TIME(0,30,0), "Half Hour", IF(Q125=TIME(1,0,0), "Hour", TEXT(Q125*1440, "0") &amp; " Minutes"))))</f>
        <v/>
      </c>
      <c r="D125" s="9" t="str">
        <f t="shared" si="8"/>
        <v/>
      </c>
      <c r="E125" t="str">
        <f t="shared" si="9"/>
        <v/>
      </c>
      <c r="F125" s="9" t="str">
        <f t="shared" si="10"/>
        <v/>
      </c>
      <c r="G125" s="10"/>
      <c r="H125" s="10" t="str">
        <f>IF(A125="","",G125+Q125)</f>
        <v/>
      </c>
      <c r="M125" t="str">
        <f>IF(A125="","",IF(Q125="", "", ROUND(20 * EXP(LN(50/20) * ((HOUR(Q125)*60 + MINUTE(Q125) - 30) / 30)), 2) * R125 * (1 - S125)))</f>
        <v/>
      </c>
      <c r="P125" t="str" cm="1">
        <f t="array" aca="1" ref="P125" ca="1">IF(AND(A125&lt;&gt;"", C125&lt;&gt;""),
   SUMPRODUCT(--(TEXT(DATE(YEAR(TODAY()), MONTH(TODAY()), ROW(INDIRECT("1:" &amp; DAY(EOMONTH(TODAY(), 0))))), "dddd")=C125)),
   "")</f>
        <v/>
      </c>
      <c r="Q125" s="12"/>
      <c r="R125" s="11" t="str">
        <f t="shared" si="7"/>
        <v/>
      </c>
      <c r="U125" s="13"/>
    </row>
    <row r="126" spans="2:21" ht="18" x14ac:dyDescent="0.35">
      <c r="B126" t="str">
        <f>IF(A126="", "", IF(Q126="", "", IF(Q126=TIME(0,30,0), "Half Hour", IF(Q126=TIME(1,0,0), "Hour", TEXT(Q126*1440, "0") &amp; " Minutes"))))</f>
        <v/>
      </c>
      <c r="D126" s="9" t="str">
        <f t="shared" si="8"/>
        <v/>
      </c>
      <c r="E126" t="str">
        <f t="shared" si="9"/>
        <v/>
      </c>
      <c r="F126" s="9" t="str">
        <f t="shared" si="10"/>
        <v/>
      </c>
      <c r="G126" s="10"/>
      <c r="H126" s="10" t="str">
        <f>IF(A126="","",G126+Q126)</f>
        <v/>
      </c>
      <c r="M126" t="str">
        <f>IF(A126="","",IF(Q126="", "", ROUND(20 * EXP(LN(50/20) * ((HOUR(Q126)*60 + MINUTE(Q126) - 30) / 30)), 2) * R126 * (1 - S126)))</f>
        <v/>
      </c>
      <c r="P126" t="str" cm="1">
        <f t="array" aca="1" ref="P126" ca="1">IF(AND(A126&lt;&gt;"", C126&lt;&gt;""),
   SUMPRODUCT(--(TEXT(DATE(YEAR(TODAY()), MONTH(TODAY()), ROW(INDIRECT("1:" &amp; DAY(EOMONTH(TODAY(), 0))))), "dddd")=C126)),
   "")</f>
        <v/>
      </c>
      <c r="Q126" s="12"/>
      <c r="R126" s="11" t="str">
        <f t="shared" si="7"/>
        <v/>
      </c>
      <c r="U126" s="13"/>
    </row>
    <row r="127" spans="2:21" ht="18" x14ac:dyDescent="0.35">
      <c r="B127" t="str">
        <f>IF(A127="", "", IF(Q127="", "", IF(Q127=TIME(0,30,0), "Half Hour", IF(Q127=TIME(1,0,0), "Hour", TEXT(Q127*1440, "0") &amp; " Minutes"))))</f>
        <v/>
      </c>
      <c r="D127" s="9" t="str">
        <f t="shared" si="8"/>
        <v/>
      </c>
      <c r="E127" t="str">
        <f t="shared" si="9"/>
        <v/>
      </c>
      <c r="F127" s="9" t="str">
        <f t="shared" si="10"/>
        <v/>
      </c>
      <c r="G127" s="10"/>
      <c r="H127" s="10" t="str">
        <f>IF(A127="","",G127+Q127)</f>
        <v/>
      </c>
      <c r="M127" t="str">
        <f>IF(A127="","",IF(Q127="", "", ROUND(20 * EXP(LN(50/20) * ((HOUR(Q127)*60 + MINUTE(Q127) - 30) / 30)), 2) * R127 * (1 - S127)))</f>
        <v/>
      </c>
      <c r="P127" t="str" cm="1">
        <f t="array" aca="1" ref="P127" ca="1">IF(AND(A127&lt;&gt;"", C127&lt;&gt;""),
   SUMPRODUCT(--(TEXT(DATE(YEAR(TODAY()), MONTH(TODAY()), ROW(INDIRECT("1:" &amp; DAY(EOMONTH(TODAY(), 0))))), "dddd")=C127)),
   "")</f>
        <v/>
      </c>
      <c r="Q127" s="12"/>
      <c r="R127" s="11" t="str">
        <f t="shared" si="7"/>
        <v/>
      </c>
      <c r="U127" s="13"/>
    </row>
    <row r="128" spans="2:21" ht="18" x14ac:dyDescent="0.35">
      <c r="B128" t="str">
        <f>IF(A128="", "", IF(Q128="", "", IF(Q128=TIME(0,30,0), "Half Hour", IF(Q128=TIME(1,0,0), "Hour", TEXT(Q128*1440, "0") &amp; " Minutes"))))</f>
        <v/>
      </c>
      <c r="D128" s="9" t="str">
        <f t="shared" si="8"/>
        <v/>
      </c>
      <c r="E128" t="str">
        <f t="shared" si="9"/>
        <v/>
      </c>
      <c r="F128" s="9" t="str">
        <f t="shared" si="10"/>
        <v/>
      </c>
      <c r="G128" s="10"/>
      <c r="H128" s="10" t="str">
        <f>IF(A128="","",G128+Q128)</f>
        <v/>
      </c>
      <c r="M128" t="str">
        <f>IF(A128="","",IF(Q128="", "", ROUND(20 * EXP(LN(50/20) * ((HOUR(Q128)*60 + MINUTE(Q128) - 30) / 30)), 2) * R128 * (1 - S128)))</f>
        <v/>
      </c>
      <c r="P128" t="str" cm="1">
        <f t="array" aca="1" ref="P128" ca="1">IF(AND(A128&lt;&gt;"", C128&lt;&gt;""),
   SUMPRODUCT(--(TEXT(DATE(YEAR(TODAY()), MONTH(TODAY()), ROW(INDIRECT("1:" &amp; DAY(EOMONTH(TODAY(), 0))))), "dddd")=C128)),
   "")</f>
        <v/>
      </c>
      <c r="Q128" s="12"/>
      <c r="R128" s="11" t="str">
        <f t="shared" si="7"/>
        <v/>
      </c>
      <c r="U128" s="13"/>
    </row>
    <row r="129" spans="2:21" ht="18" x14ac:dyDescent="0.35">
      <c r="B129" t="str">
        <f>IF(A129="", "", IF(Q129="", "", IF(Q129=TIME(0,30,0), "Half Hour", IF(Q129=TIME(1,0,0), "Hour", TEXT(Q129*1440, "0") &amp; " Minutes"))))</f>
        <v/>
      </c>
      <c r="D129" s="9" t="str">
        <f t="shared" si="8"/>
        <v/>
      </c>
      <c r="E129" t="str">
        <f t="shared" si="9"/>
        <v/>
      </c>
      <c r="F129" s="9" t="str">
        <f t="shared" si="10"/>
        <v/>
      </c>
      <c r="G129" s="10"/>
      <c r="H129" s="10" t="str">
        <f>IF(A129="","",G129+Q129)</f>
        <v/>
      </c>
      <c r="M129" t="str">
        <f>IF(A129="","",IF(Q129="", "", ROUND(20 * EXP(LN(50/20) * ((HOUR(Q129)*60 + MINUTE(Q129) - 30) / 30)), 2) * R129 * (1 - S129)))</f>
        <v/>
      </c>
      <c r="P129" t="str" cm="1">
        <f t="array" aca="1" ref="P129" ca="1">IF(AND(A129&lt;&gt;"", C129&lt;&gt;""),
   SUMPRODUCT(--(TEXT(DATE(YEAR(TODAY()), MONTH(TODAY()), ROW(INDIRECT("1:" &amp; DAY(EOMONTH(TODAY(), 0))))), "dddd")=C129)),
   "")</f>
        <v/>
      </c>
      <c r="Q129" s="12"/>
      <c r="R129" s="11" t="str">
        <f t="shared" ref="R129:R192" si="11">IF(A129="", "", IFERROR(VALUE(MID(A129,FIND("(",A129)+1,FIND(")",A129)-FIND("(",A129)-1)), 1))</f>
        <v/>
      </c>
      <c r="U129" s="13"/>
    </row>
    <row r="130" spans="2:21" ht="18" x14ac:dyDescent="0.35">
      <c r="B130" t="str">
        <f>IF(A130="", "", IF(Q130="", "", IF(Q130=TIME(0,30,0), "Half Hour", IF(Q130=TIME(1,0,0), "Hour", TEXT(Q130*1440, "0") &amp; " Minutes"))))</f>
        <v/>
      </c>
      <c r="D130" s="9" t="str">
        <f t="shared" si="8"/>
        <v/>
      </c>
      <c r="E130" t="str">
        <f t="shared" si="9"/>
        <v/>
      </c>
      <c r="F130" s="9" t="str">
        <f t="shared" si="10"/>
        <v/>
      </c>
      <c r="G130" s="10"/>
      <c r="H130" s="10" t="str">
        <f>IF(A130="","",G130+Q130)</f>
        <v/>
      </c>
      <c r="M130" t="str">
        <f>IF(A130="","",IF(Q130="", "", ROUND(20 * EXP(LN(50/20) * ((HOUR(Q130)*60 + MINUTE(Q130) - 30) / 30)), 2) * R130 * (1 - S130)))</f>
        <v/>
      </c>
      <c r="P130" t="str" cm="1">
        <f t="array" aca="1" ref="P130" ca="1">IF(AND(A130&lt;&gt;"", C130&lt;&gt;""),
   SUMPRODUCT(--(TEXT(DATE(YEAR(TODAY()), MONTH(TODAY()), ROW(INDIRECT("1:" &amp; DAY(EOMONTH(TODAY(), 0))))), "dddd")=C130)),
   "")</f>
        <v/>
      </c>
      <c r="Q130" s="12"/>
      <c r="R130" s="11" t="str">
        <f t="shared" si="11"/>
        <v/>
      </c>
      <c r="U130" s="13"/>
    </row>
    <row r="131" spans="2:21" ht="18" x14ac:dyDescent="0.35">
      <c r="B131" t="str">
        <f>IF(A131="", "", IF(Q131="", "", IF(Q131=TIME(0,30,0), "Half Hour", IF(Q131=TIME(1,0,0), "Hour", TEXT(Q131*1440, "0") &amp; " Minutes"))))</f>
        <v/>
      </c>
      <c r="D131" s="9" t="str">
        <f t="shared" ref="D131:D194" si="12">IF(A131="","",F131-IF(E131="",0,E131))</f>
        <v/>
      </c>
      <c r="E131" t="str">
        <f t="shared" ref="E131:E194" si="13">IF(A131="","",IF(L131="No","",1.5*O131))</f>
        <v/>
      </c>
      <c r="F131" s="9" t="str">
        <f t="shared" ref="F131:F194" si="14">IF(A131="","",M131*P131)</f>
        <v/>
      </c>
      <c r="G131" s="10"/>
      <c r="H131" s="10" t="str">
        <f>IF(A131="","",G131+Q131)</f>
        <v/>
      </c>
      <c r="M131" t="str">
        <f>IF(A131="","",IF(Q131="", "", ROUND(20 * EXP(LN(50/20) * ((HOUR(Q131)*60 + MINUTE(Q131) - 30) / 30)), 2) * R131 * (1 - S131)))</f>
        <v/>
      </c>
      <c r="P131" t="str" cm="1">
        <f t="array" aca="1" ref="P131" ca="1">IF(AND(A131&lt;&gt;"", C131&lt;&gt;""),
   SUMPRODUCT(--(TEXT(DATE(YEAR(TODAY()), MONTH(TODAY()), ROW(INDIRECT("1:" &amp; DAY(EOMONTH(TODAY(), 0))))), "dddd")=C131)),
   "")</f>
        <v/>
      </c>
      <c r="Q131" s="12"/>
      <c r="R131" s="11" t="str">
        <f t="shared" si="11"/>
        <v/>
      </c>
      <c r="U131" s="13"/>
    </row>
    <row r="132" spans="2:21" ht="18" x14ac:dyDescent="0.35">
      <c r="B132" t="str">
        <f>IF(A132="", "", IF(Q132="", "", IF(Q132=TIME(0,30,0), "Half Hour", IF(Q132=TIME(1,0,0), "Hour", TEXT(Q132*1440, "0") &amp; " Minutes"))))</f>
        <v/>
      </c>
      <c r="D132" s="9" t="str">
        <f t="shared" si="12"/>
        <v/>
      </c>
      <c r="E132" t="str">
        <f t="shared" si="13"/>
        <v/>
      </c>
      <c r="F132" s="9" t="str">
        <f t="shared" si="14"/>
        <v/>
      </c>
      <c r="G132" s="10"/>
      <c r="H132" s="10" t="str">
        <f>IF(A132="","",G132+Q132)</f>
        <v/>
      </c>
      <c r="M132" t="str">
        <f>IF(A132="","",IF(Q132="", "", ROUND(20 * EXP(LN(50/20) * ((HOUR(Q132)*60 + MINUTE(Q132) - 30) / 30)), 2) * R132 * (1 - S132)))</f>
        <v/>
      </c>
      <c r="P132" t="str" cm="1">
        <f t="array" aca="1" ref="P132" ca="1">IF(AND(A132&lt;&gt;"", C132&lt;&gt;""),
   SUMPRODUCT(--(TEXT(DATE(YEAR(TODAY()), MONTH(TODAY()), ROW(INDIRECT("1:" &amp; DAY(EOMONTH(TODAY(), 0))))), "dddd")=C132)),
   "")</f>
        <v/>
      </c>
      <c r="Q132" s="12"/>
      <c r="R132" s="11" t="str">
        <f t="shared" si="11"/>
        <v/>
      </c>
      <c r="U132" s="13"/>
    </row>
    <row r="133" spans="2:21" ht="18" x14ac:dyDescent="0.35">
      <c r="B133" t="str">
        <f>IF(A133="", "", IF(Q133="", "", IF(Q133=TIME(0,30,0), "Half Hour", IF(Q133=TIME(1,0,0), "Hour", TEXT(Q133*1440, "0") &amp; " Minutes"))))</f>
        <v/>
      </c>
      <c r="D133" s="9" t="str">
        <f t="shared" si="12"/>
        <v/>
      </c>
      <c r="E133" t="str">
        <f t="shared" si="13"/>
        <v/>
      </c>
      <c r="F133" s="9" t="str">
        <f t="shared" si="14"/>
        <v/>
      </c>
      <c r="G133" s="10"/>
      <c r="H133" s="10" t="str">
        <f>IF(A133="","",G133+Q133)</f>
        <v/>
      </c>
      <c r="M133" t="str">
        <f>IF(A133="","",IF(Q133="", "", ROUND(20 * EXP(LN(50/20) * ((HOUR(Q133)*60 + MINUTE(Q133) - 30) / 30)), 2) * R133 * (1 - S133)))</f>
        <v/>
      </c>
      <c r="P133" t="str" cm="1">
        <f t="array" aca="1" ref="P133" ca="1">IF(AND(A133&lt;&gt;"", C133&lt;&gt;""),
   SUMPRODUCT(--(TEXT(DATE(YEAR(TODAY()), MONTH(TODAY()), ROW(INDIRECT("1:" &amp; DAY(EOMONTH(TODAY(), 0))))), "dddd")=C133)),
   "")</f>
        <v/>
      </c>
      <c r="Q133" s="12"/>
      <c r="R133" s="11" t="str">
        <f t="shared" si="11"/>
        <v/>
      </c>
      <c r="U133" s="13"/>
    </row>
    <row r="134" spans="2:21" ht="18" x14ac:dyDescent="0.35">
      <c r="B134" t="str">
        <f>IF(A134="", "", IF(Q134="", "", IF(Q134=TIME(0,30,0), "Half Hour", IF(Q134=TIME(1,0,0), "Hour", TEXT(Q134*1440, "0") &amp; " Minutes"))))</f>
        <v/>
      </c>
      <c r="D134" s="9" t="str">
        <f t="shared" si="12"/>
        <v/>
      </c>
      <c r="E134" t="str">
        <f t="shared" si="13"/>
        <v/>
      </c>
      <c r="F134" s="9" t="str">
        <f t="shared" si="14"/>
        <v/>
      </c>
      <c r="G134" s="10"/>
      <c r="H134" s="10" t="str">
        <f>IF(A134="","",G134+Q134)</f>
        <v/>
      </c>
      <c r="M134" t="str">
        <f>IF(A134="","",IF(Q134="", "", ROUND(20 * EXP(LN(50/20) * ((HOUR(Q134)*60 + MINUTE(Q134) - 30) / 30)), 2) * R134 * (1 - S134)))</f>
        <v/>
      </c>
      <c r="P134" t="str" cm="1">
        <f t="array" aca="1" ref="P134" ca="1">IF(AND(A134&lt;&gt;"", C134&lt;&gt;""),
   SUMPRODUCT(--(TEXT(DATE(YEAR(TODAY()), MONTH(TODAY()), ROW(INDIRECT("1:" &amp; DAY(EOMONTH(TODAY(), 0))))), "dddd")=C134)),
   "")</f>
        <v/>
      </c>
      <c r="Q134" s="12"/>
      <c r="R134" s="11" t="str">
        <f t="shared" si="11"/>
        <v/>
      </c>
      <c r="U134" s="13"/>
    </row>
    <row r="135" spans="2:21" ht="18" x14ac:dyDescent="0.35">
      <c r="B135" t="str">
        <f>IF(A135="", "", IF(Q135="", "", IF(Q135=TIME(0,30,0), "Half Hour", IF(Q135=TIME(1,0,0), "Hour", TEXT(Q135*1440, "0") &amp; " Minutes"))))</f>
        <v/>
      </c>
      <c r="D135" s="9" t="str">
        <f t="shared" si="12"/>
        <v/>
      </c>
      <c r="E135" t="str">
        <f t="shared" si="13"/>
        <v/>
      </c>
      <c r="F135" s="9" t="str">
        <f t="shared" si="14"/>
        <v/>
      </c>
      <c r="G135" s="10"/>
      <c r="H135" s="10" t="str">
        <f>IF(A135="","",G135+Q135)</f>
        <v/>
      </c>
      <c r="M135" t="str">
        <f>IF(A135="","",IF(Q135="", "", ROUND(20 * EXP(LN(50/20) * ((HOUR(Q135)*60 + MINUTE(Q135) - 30) / 30)), 2) * R135 * (1 - S135)))</f>
        <v/>
      </c>
      <c r="P135" t="str" cm="1">
        <f t="array" aca="1" ref="P135" ca="1">IF(AND(A135&lt;&gt;"", C135&lt;&gt;""),
   SUMPRODUCT(--(TEXT(DATE(YEAR(TODAY()), MONTH(TODAY()), ROW(INDIRECT("1:" &amp; DAY(EOMONTH(TODAY(), 0))))), "dddd")=C135)),
   "")</f>
        <v/>
      </c>
      <c r="Q135" s="12"/>
      <c r="R135" s="11" t="str">
        <f t="shared" si="11"/>
        <v/>
      </c>
      <c r="U135" s="13"/>
    </row>
    <row r="136" spans="2:21" ht="18" x14ac:dyDescent="0.35">
      <c r="B136" t="str">
        <f>IF(A136="", "", IF(Q136="", "", IF(Q136=TIME(0,30,0), "Half Hour", IF(Q136=TIME(1,0,0), "Hour", TEXT(Q136*1440, "0") &amp; " Minutes"))))</f>
        <v/>
      </c>
      <c r="D136" s="9" t="str">
        <f t="shared" si="12"/>
        <v/>
      </c>
      <c r="E136" t="str">
        <f t="shared" si="13"/>
        <v/>
      </c>
      <c r="F136" s="9" t="str">
        <f t="shared" si="14"/>
        <v/>
      </c>
      <c r="G136" s="10"/>
      <c r="H136" s="10" t="str">
        <f>IF(A136="","",G136+Q136)</f>
        <v/>
      </c>
      <c r="M136" t="str">
        <f>IF(A136="","",IF(Q136="", "", ROUND(20 * EXP(LN(50/20) * ((HOUR(Q136)*60 + MINUTE(Q136) - 30) / 30)), 2) * R136 * (1 - S136)))</f>
        <v/>
      </c>
      <c r="P136" t="str" cm="1">
        <f t="array" aca="1" ref="P136" ca="1">IF(AND(A136&lt;&gt;"", C136&lt;&gt;""),
   SUMPRODUCT(--(TEXT(DATE(YEAR(TODAY()), MONTH(TODAY()), ROW(INDIRECT("1:" &amp; DAY(EOMONTH(TODAY(), 0))))), "dddd")=C136)),
   "")</f>
        <v/>
      </c>
      <c r="Q136" s="12"/>
      <c r="R136" s="11" t="str">
        <f t="shared" si="11"/>
        <v/>
      </c>
      <c r="U136" s="13"/>
    </row>
    <row r="137" spans="2:21" ht="18" x14ac:dyDescent="0.35">
      <c r="B137" t="str">
        <f>IF(A137="", "", IF(Q137="", "", IF(Q137=TIME(0,30,0), "Half Hour", IF(Q137=TIME(1,0,0), "Hour", TEXT(Q137*1440, "0") &amp; " Minutes"))))</f>
        <v/>
      </c>
      <c r="D137" s="9" t="str">
        <f t="shared" si="12"/>
        <v/>
      </c>
      <c r="E137" t="str">
        <f t="shared" si="13"/>
        <v/>
      </c>
      <c r="F137" s="9" t="str">
        <f t="shared" si="14"/>
        <v/>
      </c>
      <c r="G137" s="10"/>
      <c r="H137" s="10" t="str">
        <f>IF(A137="","",G137+Q137)</f>
        <v/>
      </c>
      <c r="M137" t="str">
        <f>IF(A137="","",IF(Q137="", "", ROUND(20 * EXP(LN(50/20) * ((HOUR(Q137)*60 + MINUTE(Q137) - 30) / 30)), 2) * R137 * (1 - S137)))</f>
        <v/>
      </c>
      <c r="P137" t="str" cm="1">
        <f t="array" aca="1" ref="P137" ca="1">IF(AND(A137&lt;&gt;"", C137&lt;&gt;""),
   SUMPRODUCT(--(TEXT(DATE(YEAR(TODAY()), MONTH(TODAY()), ROW(INDIRECT("1:" &amp; DAY(EOMONTH(TODAY(), 0))))), "dddd")=C137)),
   "")</f>
        <v/>
      </c>
      <c r="Q137" s="12"/>
      <c r="R137" s="11" t="str">
        <f t="shared" si="11"/>
        <v/>
      </c>
      <c r="U137" s="13"/>
    </row>
    <row r="138" spans="2:21" ht="18" x14ac:dyDescent="0.35">
      <c r="B138" t="str">
        <f>IF(A138="", "", IF(Q138="", "", IF(Q138=TIME(0,30,0), "Half Hour", IF(Q138=TIME(1,0,0), "Hour", TEXT(Q138*1440, "0") &amp; " Minutes"))))</f>
        <v/>
      </c>
      <c r="D138" s="9" t="str">
        <f t="shared" si="12"/>
        <v/>
      </c>
      <c r="E138" t="str">
        <f t="shared" si="13"/>
        <v/>
      </c>
      <c r="F138" s="9" t="str">
        <f t="shared" si="14"/>
        <v/>
      </c>
      <c r="G138" s="10"/>
      <c r="H138" s="10" t="str">
        <f>IF(A138="","",G138+Q138)</f>
        <v/>
      </c>
      <c r="M138" t="str">
        <f>IF(A138="","",IF(Q138="", "", ROUND(20 * EXP(LN(50/20) * ((HOUR(Q138)*60 + MINUTE(Q138) - 30) / 30)), 2) * R138 * (1 - S138)))</f>
        <v/>
      </c>
      <c r="P138" t="str" cm="1">
        <f t="array" aca="1" ref="P138" ca="1">IF(AND(A138&lt;&gt;"", C138&lt;&gt;""),
   SUMPRODUCT(--(TEXT(DATE(YEAR(TODAY()), MONTH(TODAY()), ROW(INDIRECT("1:" &amp; DAY(EOMONTH(TODAY(), 0))))), "dddd")=C138)),
   "")</f>
        <v/>
      </c>
      <c r="Q138" s="12"/>
      <c r="R138" s="11" t="str">
        <f t="shared" si="11"/>
        <v/>
      </c>
      <c r="U138" s="13"/>
    </row>
    <row r="139" spans="2:21" ht="18" x14ac:dyDescent="0.35">
      <c r="B139" t="str">
        <f>IF(A139="", "", IF(Q139="", "", IF(Q139=TIME(0,30,0), "Half Hour", IF(Q139=TIME(1,0,0), "Hour", TEXT(Q139*1440, "0") &amp; " Minutes"))))</f>
        <v/>
      </c>
      <c r="D139" s="9" t="str">
        <f t="shared" si="12"/>
        <v/>
      </c>
      <c r="E139" t="str">
        <f t="shared" si="13"/>
        <v/>
      </c>
      <c r="F139" s="9" t="str">
        <f t="shared" si="14"/>
        <v/>
      </c>
      <c r="G139" s="10"/>
      <c r="H139" s="10" t="str">
        <f>IF(A139="","",G139+Q139)</f>
        <v/>
      </c>
      <c r="M139" t="str">
        <f>IF(A139="","",IF(Q139="", "", ROUND(20 * EXP(LN(50/20) * ((HOUR(Q139)*60 + MINUTE(Q139) - 30) / 30)), 2) * R139 * (1 - S139)))</f>
        <v/>
      </c>
      <c r="P139" t="str" cm="1">
        <f t="array" aca="1" ref="P139" ca="1">IF(AND(A139&lt;&gt;"", C139&lt;&gt;""),
   SUMPRODUCT(--(TEXT(DATE(YEAR(TODAY()), MONTH(TODAY()), ROW(INDIRECT("1:" &amp; DAY(EOMONTH(TODAY(), 0))))), "dddd")=C139)),
   "")</f>
        <v/>
      </c>
      <c r="Q139" s="12"/>
      <c r="R139" s="11" t="str">
        <f t="shared" si="11"/>
        <v/>
      </c>
      <c r="U139" s="13"/>
    </row>
    <row r="140" spans="2:21" ht="18" x14ac:dyDescent="0.35">
      <c r="B140" t="str">
        <f>IF(A140="", "", IF(Q140="", "", IF(Q140=TIME(0,30,0), "Half Hour", IF(Q140=TIME(1,0,0), "Hour", TEXT(Q140*1440, "0") &amp; " Minutes"))))</f>
        <v/>
      </c>
      <c r="D140" s="9" t="str">
        <f t="shared" si="12"/>
        <v/>
      </c>
      <c r="E140" t="str">
        <f t="shared" si="13"/>
        <v/>
      </c>
      <c r="F140" s="9" t="str">
        <f t="shared" si="14"/>
        <v/>
      </c>
      <c r="G140" s="10"/>
      <c r="H140" s="10" t="str">
        <f>IF(A140="","",G140+Q140)</f>
        <v/>
      </c>
      <c r="M140" t="str">
        <f>IF(A140="","",IF(Q140="", "", ROUND(20 * EXP(LN(50/20) * ((HOUR(Q140)*60 + MINUTE(Q140) - 30) / 30)), 2) * R140 * (1 - S140)))</f>
        <v/>
      </c>
      <c r="P140" t="str" cm="1">
        <f t="array" aca="1" ref="P140" ca="1">IF(AND(A140&lt;&gt;"", C140&lt;&gt;""),
   SUMPRODUCT(--(TEXT(DATE(YEAR(TODAY()), MONTH(TODAY()), ROW(INDIRECT("1:" &amp; DAY(EOMONTH(TODAY(), 0))))), "dddd")=C140)),
   "")</f>
        <v/>
      </c>
      <c r="Q140" s="12"/>
      <c r="R140" s="11" t="str">
        <f t="shared" si="11"/>
        <v/>
      </c>
      <c r="U140" s="13"/>
    </row>
    <row r="141" spans="2:21" ht="18" x14ac:dyDescent="0.35">
      <c r="B141" t="str">
        <f>IF(A141="", "", IF(Q141="", "", IF(Q141=TIME(0,30,0), "Half Hour", IF(Q141=TIME(1,0,0), "Hour", TEXT(Q141*1440, "0") &amp; " Minutes"))))</f>
        <v/>
      </c>
      <c r="D141" s="9" t="str">
        <f t="shared" si="12"/>
        <v/>
      </c>
      <c r="E141" t="str">
        <f t="shared" si="13"/>
        <v/>
      </c>
      <c r="F141" s="9" t="str">
        <f t="shared" si="14"/>
        <v/>
      </c>
      <c r="G141" s="10"/>
      <c r="H141" s="10" t="str">
        <f>IF(A141="","",G141+Q141)</f>
        <v/>
      </c>
      <c r="M141" t="str">
        <f>IF(A141="","",IF(Q141="", "", ROUND(20 * EXP(LN(50/20) * ((HOUR(Q141)*60 + MINUTE(Q141) - 30) / 30)), 2) * R141 * (1 - S141)))</f>
        <v/>
      </c>
      <c r="P141" t="str" cm="1">
        <f t="array" aca="1" ref="P141" ca="1">IF(AND(A141&lt;&gt;"", C141&lt;&gt;""),
   SUMPRODUCT(--(TEXT(DATE(YEAR(TODAY()), MONTH(TODAY()), ROW(INDIRECT("1:" &amp; DAY(EOMONTH(TODAY(), 0))))), "dddd")=C141)),
   "")</f>
        <v/>
      </c>
      <c r="Q141" s="12"/>
      <c r="R141" s="11" t="str">
        <f t="shared" si="11"/>
        <v/>
      </c>
      <c r="U141" s="13"/>
    </row>
    <row r="142" spans="2:21" ht="18" x14ac:dyDescent="0.35">
      <c r="B142" t="str">
        <f>IF(A142="", "", IF(Q142="", "", IF(Q142=TIME(0,30,0), "Half Hour", IF(Q142=TIME(1,0,0), "Hour", TEXT(Q142*1440, "0") &amp; " Minutes"))))</f>
        <v/>
      </c>
      <c r="D142" s="9" t="str">
        <f t="shared" si="12"/>
        <v/>
      </c>
      <c r="E142" t="str">
        <f t="shared" si="13"/>
        <v/>
      </c>
      <c r="F142" s="9" t="str">
        <f t="shared" si="14"/>
        <v/>
      </c>
      <c r="G142" s="10"/>
      <c r="H142" s="10" t="str">
        <f>IF(A142="","",G142+Q142)</f>
        <v/>
      </c>
      <c r="M142" t="str">
        <f>IF(A142="","",IF(Q142="", "", ROUND(20 * EXP(LN(50/20) * ((HOUR(Q142)*60 + MINUTE(Q142) - 30) / 30)), 2) * R142 * (1 - S142)))</f>
        <v/>
      </c>
      <c r="P142" t="str" cm="1">
        <f t="array" aca="1" ref="P142" ca="1">IF(AND(A142&lt;&gt;"", C142&lt;&gt;""),
   SUMPRODUCT(--(TEXT(DATE(YEAR(TODAY()), MONTH(TODAY()), ROW(INDIRECT("1:" &amp; DAY(EOMONTH(TODAY(), 0))))), "dddd")=C142)),
   "")</f>
        <v/>
      </c>
      <c r="Q142" s="12"/>
      <c r="R142" s="11" t="str">
        <f t="shared" si="11"/>
        <v/>
      </c>
      <c r="U142" s="13"/>
    </row>
    <row r="143" spans="2:21" ht="18" x14ac:dyDescent="0.35">
      <c r="B143" t="str">
        <f>IF(A143="", "", IF(Q143="", "", IF(Q143=TIME(0,30,0), "Half Hour", IF(Q143=TIME(1,0,0), "Hour", TEXT(Q143*1440, "0") &amp; " Minutes"))))</f>
        <v/>
      </c>
      <c r="D143" s="9" t="str">
        <f t="shared" si="12"/>
        <v/>
      </c>
      <c r="E143" t="str">
        <f t="shared" si="13"/>
        <v/>
      </c>
      <c r="F143" s="9" t="str">
        <f t="shared" si="14"/>
        <v/>
      </c>
      <c r="G143" s="10"/>
      <c r="H143" s="10" t="str">
        <f>IF(A143="","",G143+Q143)</f>
        <v/>
      </c>
      <c r="M143" t="str">
        <f>IF(A143="","",IF(Q143="", "", ROUND(20 * EXP(LN(50/20) * ((HOUR(Q143)*60 + MINUTE(Q143) - 30) / 30)), 2) * R143 * (1 - S143)))</f>
        <v/>
      </c>
      <c r="P143" t="str" cm="1">
        <f t="array" aca="1" ref="P143" ca="1">IF(AND(A143&lt;&gt;"", C143&lt;&gt;""),
   SUMPRODUCT(--(TEXT(DATE(YEAR(TODAY()), MONTH(TODAY()), ROW(INDIRECT("1:" &amp; DAY(EOMONTH(TODAY(), 0))))), "dddd")=C143)),
   "")</f>
        <v/>
      </c>
      <c r="Q143" s="12"/>
      <c r="R143" s="11" t="str">
        <f t="shared" si="11"/>
        <v/>
      </c>
      <c r="U143" s="13"/>
    </row>
    <row r="144" spans="2:21" ht="18" x14ac:dyDescent="0.35">
      <c r="B144" t="str">
        <f>IF(A144="", "", IF(Q144="", "", IF(Q144=TIME(0,30,0), "Half Hour", IF(Q144=TIME(1,0,0), "Hour", TEXT(Q144*1440, "0") &amp; " Minutes"))))</f>
        <v/>
      </c>
      <c r="D144" s="9" t="str">
        <f t="shared" si="12"/>
        <v/>
      </c>
      <c r="E144" t="str">
        <f t="shared" si="13"/>
        <v/>
      </c>
      <c r="F144" s="9" t="str">
        <f t="shared" si="14"/>
        <v/>
      </c>
      <c r="G144" s="10"/>
      <c r="H144" s="10" t="str">
        <f>IF(A144="","",G144+Q144)</f>
        <v/>
      </c>
      <c r="M144" t="str">
        <f>IF(A144="","",IF(Q144="", "", ROUND(20 * EXP(LN(50/20) * ((HOUR(Q144)*60 + MINUTE(Q144) - 30) / 30)), 2) * R144 * (1 - S144)))</f>
        <v/>
      </c>
      <c r="P144" t="str" cm="1">
        <f t="array" aca="1" ref="P144" ca="1">IF(AND(A144&lt;&gt;"", C144&lt;&gt;""),
   SUMPRODUCT(--(TEXT(DATE(YEAR(TODAY()), MONTH(TODAY()), ROW(INDIRECT("1:" &amp; DAY(EOMONTH(TODAY(), 0))))), "dddd")=C144)),
   "")</f>
        <v/>
      </c>
      <c r="Q144" s="12"/>
      <c r="R144" s="11" t="str">
        <f t="shared" si="11"/>
        <v/>
      </c>
      <c r="U144" s="13"/>
    </row>
    <row r="145" spans="2:21" ht="18" x14ac:dyDescent="0.35">
      <c r="B145" t="str">
        <f>IF(A145="", "", IF(Q145="", "", IF(Q145=TIME(0,30,0), "Half Hour", IF(Q145=TIME(1,0,0), "Hour", TEXT(Q145*1440, "0") &amp; " Minutes"))))</f>
        <v/>
      </c>
      <c r="D145" s="9" t="str">
        <f t="shared" si="12"/>
        <v/>
      </c>
      <c r="E145" t="str">
        <f t="shared" si="13"/>
        <v/>
      </c>
      <c r="F145" s="9" t="str">
        <f t="shared" si="14"/>
        <v/>
      </c>
      <c r="G145" s="10"/>
      <c r="H145" s="10" t="str">
        <f>IF(A145="","",G145+Q145)</f>
        <v/>
      </c>
      <c r="M145" t="str">
        <f>IF(A145="","",IF(Q145="", "", ROUND(20 * EXP(LN(50/20) * ((HOUR(Q145)*60 + MINUTE(Q145) - 30) / 30)), 2) * R145 * (1 - S145)))</f>
        <v/>
      </c>
      <c r="P145" t="str" cm="1">
        <f t="array" aca="1" ref="P145" ca="1">IF(AND(A145&lt;&gt;"", C145&lt;&gt;""),
   SUMPRODUCT(--(TEXT(DATE(YEAR(TODAY()), MONTH(TODAY()), ROW(INDIRECT("1:" &amp; DAY(EOMONTH(TODAY(), 0))))), "dddd")=C145)),
   "")</f>
        <v/>
      </c>
      <c r="Q145" s="12"/>
      <c r="R145" s="11" t="str">
        <f t="shared" si="11"/>
        <v/>
      </c>
      <c r="U145" s="13"/>
    </row>
    <row r="146" spans="2:21" ht="18" x14ac:dyDescent="0.35">
      <c r="B146" t="str">
        <f>IF(A146="", "", IF(Q146="", "", IF(Q146=TIME(0,30,0), "Half Hour", IF(Q146=TIME(1,0,0), "Hour", TEXT(Q146*1440, "0") &amp; " Minutes"))))</f>
        <v/>
      </c>
      <c r="D146" s="9" t="str">
        <f t="shared" si="12"/>
        <v/>
      </c>
      <c r="E146" t="str">
        <f t="shared" si="13"/>
        <v/>
      </c>
      <c r="F146" s="9" t="str">
        <f t="shared" si="14"/>
        <v/>
      </c>
      <c r="G146" s="10"/>
      <c r="H146" s="10" t="str">
        <f>IF(A146="","",G146+Q146)</f>
        <v/>
      </c>
      <c r="M146" t="str">
        <f>IF(A146="","",IF(Q146="", "", ROUND(20 * EXP(LN(50/20) * ((HOUR(Q146)*60 + MINUTE(Q146) - 30) / 30)), 2) * R146 * (1 - S146)))</f>
        <v/>
      </c>
      <c r="P146" t="str" cm="1">
        <f t="array" aca="1" ref="P146" ca="1">IF(AND(A146&lt;&gt;"", C146&lt;&gt;""),
   SUMPRODUCT(--(TEXT(DATE(YEAR(TODAY()), MONTH(TODAY()), ROW(INDIRECT("1:" &amp; DAY(EOMONTH(TODAY(), 0))))), "dddd")=C146)),
   "")</f>
        <v/>
      </c>
      <c r="Q146" s="12"/>
      <c r="R146" s="11" t="str">
        <f t="shared" si="11"/>
        <v/>
      </c>
      <c r="U146" s="13"/>
    </row>
    <row r="147" spans="2:21" ht="18" x14ac:dyDescent="0.35">
      <c r="B147" t="str">
        <f>IF(A147="", "", IF(Q147="", "", IF(Q147=TIME(0,30,0), "Half Hour", IF(Q147=TIME(1,0,0), "Hour", TEXT(Q147*1440, "0") &amp; " Minutes"))))</f>
        <v/>
      </c>
      <c r="D147" s="9" t="str">
        <f t="shared" si="12"/>
        <v/>
      </c>
      <c r="E147" t="str">
        <f t="shared" si="13"/>
        <v/>
      </c>
      <c r="F147" s="9" t="str">
        <f t="shared" si="14"/>
        <v/>
      </c>
      <c r="G147" s="10"/>
      <c r="H147" s="10" t="str">
        <f>IF(A147="","",G147+Q147)</f>
        <v/>
      </c>
      <c r="M147" t="str">
        <f>IF(A147="","",IF(Q147="", "", ROUND(20 * EXP(LN(50/20) * ((HOUR(Q147)*60 + MINUTE(Q147) - 30) / 30)), 2) * R147 * (1 - S147)))</f>
        <v/>
      </c>
      <c r="P147" t="str" cm="1">
        <f t="array" aca="1" ref="P147" ca="1">IF(AND(A147&lt;&gt;"", C147&lt;&gt;""),
   SUMPRODUCT(--(TEXT(DATE(YEAR(TODAY()), MONTH(TODAY()), ROW(INDIRECT("1:" &amp; DAY(EOMONTH(TODAY(), 0))))), "dddd")=C147)),
   "")</f>
        <v/>
      </c>
      <c r="Q147" s="12"/>
      <c r="R147" s="11" t="str">
        <f t="shared" si="11"/>
        <v/>
      </c>
      <c r="U147" s="13"/>
    </row>
    <row r="148" spans="2:21" ht="18" x14ac:dyDescent="0.35">
      <c r="B148" t="str">
        <f>IF(A148="", "", IF(Q148="", "", IF(Q148=TIME(0,30,0), "Half Hour", IF(Q148=TIME(1,0,0), "Hour", TEXT(Q148*1440, "0") &amp; " Minutes"))))</f>
        <v/>
      </c>
      <c r="D148" s="9" t="str">
        <f t="shared" si="12"/>
        <v/>
      </c>
      <c r="E148" t="str">
        <f t="shared" si="13"/>
        <v/>
      </c>
      <c r="F148" s="9" t="str">
        <f t="shared" si="14"/>
        <v/>
      </c>
      <c r="G148" s="10"/>
      <c r="H148" s="10" t="str">
        <f>IF(A148="","",G148+Q148)</f>
        <v/>
      </c>
      <c r="M148" t="str">
        <f>IF(A148="","",IF(Q148="", "", ROUND(20 * EXP(LN(50/20) * ((HOUR(Q148)*60 + MINUTE(Q148) - 30) / 30)), 2) * R148 * (1 - S148)))</f>
        <v/>
      </c>
      <c r="P148" t="str" cm="1">
        <f t="array" aca="1" ref="P148" ca="1">IF(AND(A148&lt;&gt;"", C148&lt;&gt;""),
   SUMPRODUCT(--(TEXT(DATE(YEAR(TODAY()), MONTH(TODAY()), ROW(INDIRECT("1:" &amp; DAY(EOMONTH(TODAY(), 0))))), "dddd")=C148)),
   "")</f>
        <v/>
      </c>
      <c r="Q148" s="12"/>
      <c r="R148" s="11" t="str">
        <f t="shared" si="11"/>
        <v/>
      </c>
      <c r="U148" s="13"/>
    </row>
    <row r="149" spans="2:21" ht="18" x14ac:dyDescent="0.35">
      <c r="B149" t="str">
        <f>IF(A149="", "", IF(Q149="", "", IF(Q149=TIME(0,30,0), "Half Hour", IF(Q149=TIME(1,0,0), "Hour", TEXT(Q149*1440, "0") &amp; " Minutes"))))</f>
        <v/>
      </c>
      <c r="D149" s="9" t="str">
        <f t="shared" si="12"/>
        <v/>
      </c>
      <c r="E149" t="str">
        <f t="shared" si="13"/>
        <v/>
      </c>
      <c r="F149" s="9" t="str">
        <f t="shared" si="14"/>
        <v/>
      </c>
      <c r="G149" s="10"/>
      <c r="H149" s="10" t="str">
        <f>IF(A149="","",G149+Q149)</f>
        <v/>
      </c>
      <c r="M149" t="str">
        <f>IF(A149="","",IF(Q149="", "", ROUND(20 * EXP(LN(50/20) * ((HOUR(Q149)*60 + MINUTE(Q149) - 30) / 30)), 2) * R149 * (1 - S149)))</f>
        <v/>
      </c>
      <c r="P149" t="str" cm="1">
        <f t="array" aca="1" ref="P149" ca="1">IF(AND(A149&lt;&gt;"", C149&lt;&gt;""),
   SUMPRODUCT(--(TEXT(DATE(YEAR(TODAY()), MONTH(TODAY()), ROW(INDIRECT("1:" &amp; DAY(EOMONTH(TODAY(), 0))))), "dddd")=C149)),
   "")</f>
        <v/>
      </c>
      <c r="Q149" s="12"/>
      <c r="R149" s="11" t="str">
        <f t="shared" si="11"/>
        <v/>
      </c>
      <c r="U149" s="13"/>
    </row>
    <row r="150" spans="2:21" ht="18" x14ac:dyDescent="0.35">
      <c r="B150" t="str">
        <f>IF(A150="", "", IF(Q150="", "", IF(Q150=TIME(0,30,0), "Half Hour", IF(Q150=TIME(1,0,0), "Hour", TEXT(Q150*1440, "0") &amp; " Minutes"))))</f>
        <v/>
      </c>
      <c r="D150" s="9" t="str">
        <f t="shared" si="12"/>
        <v/>
      </c>
      <c r="E150" t="str">
        <f t="shared" si="13"/>
        <v/>
      </c>
      <c r="F150" s="9" t="str">
        <f t="shared" si="14"/>
        <v/>
      </c>
      <c r="G150" s="10"/>
      <c r="H150" s="10" t="str">
        <f>IF(A150="","",G150+Q150)</f>
        <v/>
      </c>
      <c r="M150" t="str">
        <f>IF(A150="","",IF(Q150="", "", ROUND(20 * EXP(LN(50/20) * ((HOUR(Q150)*60 + MINUTE(Q150) - 30) / 30)), 2) * R150 * (1 - S150)))</f>
        <v/>
      </c>
      <c r="P150" t="str" cm="1">
        <f t="array" aca="1" ref="P150" ca="1">IF(AND(A150&lt;&gt;"", C150&lt;&gt;""),
   SUMPRODUCT(--(TEXT(DATE(YEAR(TODAY()), MONTH(TODAY()), ROW(INDIRECT("1:" &amp; DAY(EOMONTH(TODAY(), 0))))), "dddd")=C150)),
   "")</f>
        <v/>
      </c>
      <c r="Q150" s="12"/>
      <c r="R150" s="11" t="str">
        <f t="shared" si="11"/>
        <v/>
      </c>
      <c r="U150" s="13"/>
    </row>
    <row r="151" spans="2:21" ht="18" x14ac:dyDescent="0.35">
      <c r="B151" t="str">
        <f>IF(A151="", "", IF(Q151="", "", IF(Q151=TIME(0,30,0), "Half Hour", IF(Q151=TIME(1,0,0), "Hour", TEXT(Q151*1440, "0") &amp; " Minutes"))))</f>
        <v/>
      </c>
      <c r="D151" s="9" t="str">
        <f t="shared" si="12"/>
        <v/>
      </c>
      <c r="E151" t="str">
        <f t="shared" si="13"/>
        <v/>
      </c>
      <c r="F151" s="9" t="str">
        <f t="shared" si="14"/>
        <v/>
      </c>
      <c r="G151" s="10"/>
      <c r="H151" s="10" t="str">
        <f>IF(A151="","",G151+Q151)</f>
        <v/>
      </c>
      <c r="M151" t="str">
        <f>IF(A151="","",IF(Q151="", "", ROUND(20 * EXP(LN(50/20) * ((HOUR(Q151)*60 + MINUTE(Q151) - 30) / 30)), 2) * R151 * (1 - S151)))</f>
        <v/>
      </c>
      <c r="P151" t="str" cm="1">
        <f t="array" aca="1" ref="P151" ca="1">IF(AND(A151&lt;&gt;"", C151&lt;&gt;""),
   SUMPRODUCT(--(TEXT(DATE(YEAR(TODAY()), MONTH(TODAY()), ROW(INDIRECT("1:" &amp; DAY(EOMONTH(TODAY(), 0))))), "dddd")=C151)),
   "")</f>
        <v/>
      </c>
      <c r="Q151" s="12"/>
      <c r="R151" s="11" t="str">
        <f t="shared" si="11"/>
        <v/>
      </c>
      <c r="U151" s="13"/>
    </row>
    <row r="152" spans="2:21" ht="18" x14ac:dyDescent="0.35">
      <c r="B152" t="str">
        <f>IF(A152="", "", IF(Q152="", "", IF(Q152=TIME(0,30,0), "Half Hour", IF(Q152=TIME(1,0,0), "Hour", TEXT(Q152*1440, "0") &amp; " Minutes"))))</f>
        <v/>
      </c>
      <c r="D152" s="9" t="str">
        <f t="shared" si="12"/>
        <v/>
      </c>
      <c r="E152" t="str">
        <f t="shared" si="13"/>
        <v/>
      </c>
      <c r="F152" s="9" t="str">
        <f t="shared" si="14"/>
        <v/>
      </c>
      <c r="G152" s="10"/>
      <c r="H152" s="10" t="str">
        <f>IF(A152="","",G152+Q152)</f>
        <v/>
      </c>
      <c r="M152" t="str">
        <f>IF(A152="","",IF(Q152="", "", ROUND(20 * EXP(LN(50/20) * ((HOUR(Q152)*60 + MINUTE(Q152) - 30) / 30)), 2) * R152 * (1 - S152)))</f>
        <v/>
      </c>
      <c r="P152" t="str" cm="1">
        <f t="array" aca="1" ref="P152" ca="1">IF(AND(A152&lt;&gt;"", C152&lt;&gt;""),
   SUMPRODUCT(--(TEXT(DATE(YEAR(TODAY()), MONTH(TODAY()), ROW(INDIRECT("1:" &amp; DAY(EOMONTH(TODAY(), 0))))), "dddd")=C152)),
   "")</f>
        <v/>
      </c>
      <c r="Q152" s="12"/>
      <c r="R152" s="11" t="str">
        <f t="shared" si="11"/>
        <v/>
      </c>
      <c r="U152" s="13"/>
    </row>
    <row r="153" spans="2:21" ht="18" x14ac:dyDescent="0.35">
      <c r="B153" t="str">
        <f>IF(A153="", "", IF(Q153="", "", IF(Q153=TIME(0,30,0), "Half Hour", IF(Q153=TIME(1,0,0), "Hour", TEXT(Q153*1440, "0") &amp; " Minutes"))))</f>
        <v/>
      </c>
      <c r="D153" s="9" t="str">
        <f t="shared" si="12"/>
        <v/>
      </c>
      <c r="E153" t="str">
        <f t="shared" si="13"/>
        <v/>
      </c>
      <c r="F153" s="9" t="str">
        <f t="shared" si="14"/>
        <v/>
      </c>
      <c r="G153" s="10"/>
      <c r="H153" s="10" t="str">
        <f>IF(A153="","",G153+Q153)</f>
        <v/>
      </c>
      <c r="M153" t="str">
        <f>IF(A153="","",IF(Q153="", "", ROUND(20 * EXP(LN(50/20) * ((HOUR(Q153)*60 + MINUTE(Q153) - 30) / 30)), 2) * R153 * (1 - S153)))</f>
        <v/>
      </c>
      <c r="P153" t="str" cm="1">
        <f t="array" aca="1" ref="P153" ca="1">IF(AND(A153&lt;&gt;"", C153&lt;&gt;""),
   SUMPRODUCT(--(TEXT(DATE(YEAR(TODAY()), MONTH(TODAY()), ROW(INDIRECT("1:" &amp; DAY(EOMONTH(TODAY(), 0))))), "dddd")=C153)),
   "")</f>
        <v/>
      </c>
      <c r="Q153" s="12"/>
      <c r="R153" s="11" t="str">
        <f t="shared" si="11"/>
        <v/>
      </c>
      <c r="U153" s="13"/>
    </row>
    <row r="154" spans="2:21" ht="18" x14ac:dyDescent="0.35">
      <c r="B154" t="str">
        <f>IF(A154="", "", IF(Q154="", "", IF(Q154=TIME(0,30,0), "Half Hour", IF(Q154=TIME(1,0,0), "Hour", TEXT(Q154*1440, "0") &amp; " Minutes"))))</f>
        <v/>
      </c>
      <c r="D154" s="9" t="str">
        <f t="shared" si="12"/>
        <v/>
      </c>
      <c r="E154" t="str">
        <f t="shared" si="13"/>
        <v/>
      </c>
      <c r="F154" s="9" t="str">
        <f t="shared" si="14"/>
        <v/>
      </c>
      <c r="G154" s="10"/>
      <c r="H154" s="10" t="str">
        <f>IF(A154="","",G154+Q154)</f>
        <v/>
      </c>
      <c r="M154" t="str">
        <f>IF(A154="","",IF(Q154="", "", ROUND(20 * EXP(LN(50/20) * ((HOUR(Q154)*60 + MINUTE(Q154) - 30) / 30)), 2) * R154 * (1 - S154)))</f>
        <v/>
      </c>
      <c r="P154" t="str" cm="1">
        <f t="array" aca="1" ref="P154" ca="1">IF(AND(A154&lt;&gt;"", C154&lt;&gt;""),
   SUMPRODUCT(--(TEXT(DATE(YEAR(TODAY()), MONTH(TODAY()), ROW(INDIRECT("1:" &amp; DAY(EOMONTH(TODAY(), 0))))), "dddd")=C154)),
   "")</f>
        <v/>
      </c>
      <c r="Q154" s="12"/>
      <c r="R154" s="11" t="str">
        <f t="shared" si="11"/>
        <v/>
      </c>
      <c r="U154" s="13"/>
    </row>
    <row r="155" spans="2:21" ht="18" x14ac:dyDescent="0.35">
      <c r="B155" t="str">
        <f>IF(A155="", "", IF(Q155="", "", IF(Q155=TIME(0,30,0), "Half Hour", IF(Q155=TIME(1,0,0), "Hour", TEXT(Q155*1440, "0") &amp; " Minutes"))))</f>
        <v/>
      </c>
      <c r="D155" s="9" t="str">
        <f t="shared" si="12"/>
        <v/>
      </c>
      <c r="E155" t="str">
        <f t="shared" si="13"/>
        <v/>
      </c>
      <c r="F155" s="9" t="str">
        <f t="shared" si="14"/>
        <v/>
      </c>
      <c r="G155" s="10"/>
      <c r="H155" s="10" t="str">
        <f>IF(A155="","",G155+Q155)</f>
        <v/>
      </c>
      <c r="M155" t="str">
        <f>IF(A155="","",IF(Q155="", "", ROUND(20 * EXP(LN(50/20) * ((HOUR(Q155)*60 + MINUTE(Q155) - 30) / 30)), 2) * R155 * (1 - S155)))</f>
        <v/>
      </c>
      <c r="P155" t="str" cm="1">
        <f t="array" aca="1" ref="P155" ca="1">IF(AND(A155&lt;&gt;"", C155&lt;&gt;""),
   SUMPRODUCT(--(TEXT(DATE(YEAR(TODAY()), MONTH(TODAY()), ROW(INDIRECT("1:" &amp; DAY(EOMONTH(TODAY(), 0))))), "dddd")=C155)),
   "")</f>
        <v/>
      </c>
      <c r="Q155" s="12"/>
      <c r="R155" s="11" t="str">
        <f t="shared" si="11"/>
        <v/>
      </c>
      <c r="U155" s="13"/>
    </row>
    <row r="156" spans="2:21" ht="18" x14ac:dyDescent="0.35">
      <c r="B156" t="str">
        <f>IF(A156="", "", IF(Q156="", "", IF(Q156=TIME(0,30,0), "Half Hour", IF(Q156=TIME(1,0,0), "Hour", TEXT(Q156*1440, "0") &amp; " Minutes"))))</f>
        <v/>
      </c>
      <c r="D156" s="9" t="str">
        <f t="shared" si="12"/>
        <v/>
      </c>
      <c r="E156" t="str">
        <f t="shared" si="13"/>
        <v/>
      </c>
      <c r="F156" s="9" t="str">
        <f t="shared" si="14"/>
        <v/>
      </c>
      <c r="G156" s="10"/>
      <c r="H156" s="10" t="str">
        <f>IF(A156="","",G156+Q156)</f>
        <v/>
      </c>
      <c r="M156" t="str">
        <f>IF(A156="","",IF(Q156="", "", ROUND(20 * EXP(LN(50/20) * ((HOUR(Q156)*60 + MINUTE(Q156) - 30) / 30)), 2) * R156 * (1 - S156)))</f>
        <v/>
      </c>
      <c r="P156" t="str" cm="1">
        <f t="array" aca="1" ref="P156" ca="1">IF(AND(A156&lt;&gt;"", C156&lt;&gt;""),
   SUMPRODUCT(--(TEXT(DATE(YEAR(TODAY()), MONTH(TODAY()), ROW(INDIRECT("1:" &amp; DAY(EOMONTH(TODAY(), 0))))), "dddd")=C156)),
   "")</f>
        <v/>
      </c>
      <c r="Q156" s="12"/>
      <c r="R156" s="11" t="str">
        <f t="shared" si="11"/>
        <v/>
      </c>
      <c r="U156" s="13"/>
    </row>
    <row r="157" spans="2:21" ht="18" x14ac:dyDescent="0.35">
      <c r="B157" t="str">
        <f>IF(A157="", "", IF(Q157="", "", IF(Q157=TIME(0,30,0), "Half Hour", IF(Q157=TIME(1,0,0), "Hour", TEXT(Q157*1440, "0") &amp; " Minutes"))))</f>
        <v/>
      </c>
      <c r="D157" s="9" t="str">
        <f t="shared" si="12"/>
        <v/>
      </c>
      <c r="E157" t="str">
        <f t="shared" si="13"/>
        <v/>
      </c>
      <c r="F157" s="9" t="str">
        <f t="shared" si="14"/>
        <v/>
      </c>
      <c r="G157" s="10"/>
      <c r="H157" s="10" t="str">
        <f>IF(A157="","",G157+Q157)</f>
        <v/>
      </c>
      <c r="M157" t="str">
        <f>IF(A157="","",IF(Q157="", "", ROUND(20 * EXP(LN(50/20) * ((HOUR(Q157)*60 + MINUTE(Q157) - 30) / 30)), 2) * R157 * (1 - S157)))</f>
        <v/>
      </c>
      <c r="P157" t="str" cm="1">
        <f t="array" aca="1" ref="P157" ca="1">IF(AND(A157&lt;&gt;"", C157&lt;&gt;""),
   SUMPRODUCT(--(TEXT(DATE(YEAR(TODAY()), MONTH(TODAY()), ROW(INDIRECT("1:" &amp; DAY(EOMONTH(TODAY(), 0))))), "dddd")=C157)),
   "")</f>
        <v/>
      </c>
      <c r="Q157" s="12"/>
      <c r="R157" s="11" t="str">
        <f t="shared" si="11"/>
        <v/>
      </c>
      <c r="U157" s="13"/>
    </row>
    <row r="158" spans="2:21" ht="18" x14ac:dyDescent="0.35">
      <c r="B158" t="str">
        <f>IF(A158="", "", IF(Q158="", "", IF(Q158=TIME(0,30,0), "Half Hour", IF(Q158=TIME(1,0,0), "Hour", TEXT(Q158*1440, "0") &amp; " Minutes"))))</f>
        <v/>
      </c>
      <c r="D158" s="9" t="str">
        <f t="shared" si="12"/>
        <v/>
      </c>
      <c r="E158" t="str">
        <f t="shared" si="13"/>
        <v/>
      </c>
      <c r="F158" s="9" t="str">
        <f t="shared" si="14"/>
        <v/>
      </c>
      <c r="G158" s="10"/>
      <c r="H158" s="10" t="str">
        <f>IF(A158="","",G158+Q158)</f>
        <v/>
      </c>
      <c r="M158" t="str">
        <f>IF(A158="","",IF(Q158="", "", ROUND(20 * EXP(LN(50/20) * ((HOUR(Q158)*60 + MINUTE(Q158) - 30) / 30)), 2) * R158 * (1 - S158)))</f>
        <v/>
      </c>
      <c r="P158" t="str" cm="1">
        <f t="array" aca="1" ref="P158" ca="1">IF(AND(A158&lt;&gt;"", C158&lt;&gt;""),
   SUMPRODUCT(--(TEXT(DATE(YEAR(TODAY()), MONTH(TODAY()), ROW(INDIRECT("1:" &amp; DAY(EOMONTH(TODAY(), 0))))), "dddd")=C158)),
   "")</f>
        <v/>
      </c>
      <c r="Q158" s="12"/>
      <c r="R158" s="11" t="str">
        <f t="shared" si="11"/>
        <v/>
      </c>
      <c r="U158" s="13"/>
    </row>
    <row r="159" spans="2:21" ht="18" x14ac:dyDescent="0.35">
      <c r="B159" t="str">
        <f>IF(A159="", "", IF(Q159="", "", IF(Q159=TIME(0,30,0), "Half Hour", IF(Q159=TIME(1,0,0), "Hour", TEXT(Q159*1440, "0") &amp; " Minutes"))))</f>
        <v/>
      </c>
      <c r="D159" s="9" t="str">
        <f t="shared" si="12"/>
        <v/>
      </c>
      <c r="E159" t="str">
        <f t="shared" si="13"/>
        <v/>
      </c>
      <c r="F159" s="9" t="str">
        <f t="shared" si="14"/>
        <v/>
      </c>
      <c r="G159" s="10"/>
      <c r="H159" s="10" t="str">
        <f>IF(A159="","",G159+Q159)</f>
        <v/>
      </c>
      <c r="M159" t="str">
        <f>IF(A159="","",IF(Q159="", "", ROUND(20 * EXP(LN(50/20) * ((HOUR(Q159)*60 + MINUTE(Q159) - 30) / 30)), 2) * R159 * (1 - S159)))</f>
        <v/>
      </c>
      <c r="P159" t="str" cm="1">
        <f t="array" aca="1" ref="P159" ca="1">IF(AND(A159&lt;&gt;"", C159&lt;&gt;""),
   SUMPRODUCT(--(TEXT(DATE(YEAR(TODAY()), MONTH(TODAY()), ROW(INDIRECT("1:" &amp; DAY(EOMONTH(TODAY(), 0))))), "dddd")=C159)),
   "")</f>
        <v/>
      </c>
      <c r="Q159" s="12"/>
      <c r="R159" s="11" t="str">
        <f t="shared" si="11"/>
        <v/>
      </c>
      <c r="U159" s="13"/>
    </row>
    <row r="160" spans="2:21" ht="18" x14ac:dyDescent="0.35">
      <c r="B160" t="str">
        <f>IF(A160="", "", IF(Q160="", "", IF(Q160=TIME(0,30,0), "Half Hour", IF(Q160=TIME(1,0,0), "Hour", TEXT(Q160*1440, "0") &amp; " Minutes"))))</f>
        <v/>
      </c>
      <c r="D160" s="9" t="str">
        <f t="shared" si="12"/>
        <v/>
      </c>
      <c r="E160" t="str">
        <f t="shared" si="13"/>
        <v/>
      </c>
      <c r="F160" s="9" t="str">
        <f t="shared" si="14"/>
        <v/>
      </c>
      <c r="G160" s="10"/>
      <c r="H160" s="10" t="str">
        <f>IF(A160="","",G160+Q160)</f>
        <v/>
      </c>
      <c r="M160" t="str">
        <f>IF(A160="","",IF(Q160="", "", ROUND(20 * EXP(LN(50/20) * ((HOUR(Q160)*60 + MINUTE(Q160) - 30) / 30)), 2) * R160 * (1 - S160)))</f>
        <v/>
      </c>
      <c r="P160" t="str" cm="1">
        <f t="array" aca="1" ref="P160" ca="1">IF(AND(A160&lt;&gt;"", C160&lt;&gt;""),
   SUMPRODUCT(--(TEXT(DATE(YEAR(TODAY()), MONTH(TODAY()), ROW(INDIRECT("1:" &amp; DAY(EOMONTH(TODAY(), 0))))), "dddd")=C160)),
   "")</f>
        <v/>
      </c>
      <c r="Q160" s="12"/>
      <c r="R160" s="11" t="str">
        <f t="shared" si="11"/>
        <v/>
      </c>
      <c r="U160" s="13"/>
    </row>
    <row r="161" spans="2:21" ht="18" x14ac:dyDescent="0.35">
      <c r="B161" t="str">
        <f>IF(A161="", "", IF(Q161="", "", IF(Q161=TIME(0,30,0), "Half Hour", IF(Q161=TIME(1,0,0), "Hour", TEXT(Q161*1440, "0") &amp; " Minutes"))))</f>
        <v/>
      </c>
      <c r="D161" s="9" t="str">
        <f t="shared" si="12"/>
        <v/>
      </c>
      <c r="E161" t="str">
        <f t="shared" si="13"/>
        <v/>
      </c>
      <c r="F161" s="9" t="str">
        <f t="shared" si="14"/>
        <v/>
      </c>
      <c r="G161" s="10"/>
      <c r="H161" s="10" t="str">
        <f>IF(A161="","",G161+Q161)</f>
        <v/>
      </c>
      <c r="M161" t="str">
        <f>IF(A161="","",IF(Q161="", "", ROUND(20 * EXP(LN(50/20) * ((HOUR(Q161)*60 + MINUTE(Q161) - 30) / 30)), 2) * R161 * (1 - S161)))</f>
        <v/>
      </c>
      <c r="P161" t="str" cm="1">
        <f t="array" aca="1" ref="P161" ca="1">IF(AND(A161&lt;&gt;"", C161&lt;&gt;""),
   SUMPRODUCT(--(TEXT(DATE(YEAR(TODAY()), MONTH(TODAY()), ROW(INDIRECT("1:" &amp; DAY(EOMONTH(TODAY(), 0))))), "dddd")=C161)),
   "")</f>
        <v/>
      </c>
      <c r="Q161" s="12"/>
      <c r="R161" s="11" t="str">
        <f t="shared" si="11"/>
        <v/>
      </c>
      <c r="U161" s="13"/>
    </row>
    <row r="162" spans="2:21" ht="18" x14ac:dyDescent="0.35">
      <c r="B162" t="str">
        <f>IF(A162="", "", IF(Q162="", "", IF(Q162=TIME(0,30,0), "Half Hour", IF(Q162=TIME(1,0,0), "Hour", TEXT(Q162*1440, "0") &amp; " Minutes"))))</f>
        <v/>
      </c>
      <c r="D162" s="9" t="str">
        <f t="shared" si="12"/>
        <v/>
      </c>
      <c r="E162" t="str">
        <f t="shared" si="13"/>
        <v/>
      </c>
      <c r="F162" s="9" t="str">
        <f t="shared" si="14"/>
        <v/>
      </c>
      <c r="G162" s="10"/>
      <c r="H162" s="10" t="str">
        <f>IF(A162="","",G162+Q162)</f>
        <v/>
      </c>
      <c r="M162" t="str">
        <f>IF(A162="","",IF(Q162="", "", ROUND(20 * EXP(LN(50/20) * ((HOUR(Q162)*60 + MINUTE(Q162) - 30) / 30)), 2) * R162 * (1 - S162)))</f>
        <v/>
      </c>
      <c r="P162" t="str" cm="1">
        <f t="array" aca="1" ref="P162" ca="1">IF(AND(A162&lt;&gt;"", C162&lt;&gt;""),
   SUMPRODUCT(--(TEXT(DATE(YEAR(TODAY()), MONTH(TODAY()), ROW(INDIRECT("1:" &amp; DAY(EOMONTH(TODAY(), 0))))), "dddd")=C162)),
   "")</f>
        <v/>
      </c>
      <c r="Q162" s="12"/>
      <c r="R162" s="11" t="str">
        <f t="shared" si="11"/>
        <v/>
      </c>
      <c r="U162" s="13"/>
    </row>
    <row r="163" spans="2:21" ht="18" x14ac:dyDescent="0.35">
      <c r="B163" t="str">
        <f>IF(A163="", "", IF(Q163="", "", IF(Q163=TIME(0,30,0), "Half Hour", IF(Q163=TIME(1,0,0), "Hour", TEXT(Q163*1440, "0") &amp; " Minutes"))))</f>
        <v/>
      </c>
      <c r="D163" s="9" t="str">
        <f t="shared" si="12"/>
        <v/>
      </c>
      <c r="E163" t="str">
        <f t="shared" si="13"/>
        <v/>
      </c>
      <c r="F163" s="9" t="str">
        <f t="shared" si="14"/>
        <v/>
      </c>
      <c r="G163" s="10"/>
      <c r="H163" s="10" t="str">
        <f>IF(A163="","",G163+Q163)</f>
        <v/>
      </c>
      <c r="M163" t="str">
        <f>IF(A163="","",IF(Q163="", "", ROUND(20 * EXP(LN(50/20) * ((HOUR(Q163)*60 + MINUTE(Q163) - 30) / 30)), 2) * R163 * (1 - S163)))</f>
        <v/>
      </c>
      <c r="P163" t="str" cm="1">
        <f t="array" aca="1" ref="P163" ca="1">IF(AND(A163&lt;&gt;"", C163&lt;&gt;""),
   SUMPRODUCT(--(TEXT(DATE(YEAR(TODAY()), MONTH(TODAY()), ROW(INDIRECT("1:" &amp; DAY(EOMONTH(TODAY(), 0))))), "dddd")=C163)),
   "")</f>
        <v/>
      </c>
      <c r="Q163" s="12"/>
      <c r="R163" s="11" t="str">
        <f t="shared" si="11"/>
        <v/>
      </c>
      <c r="U163" s="13"/>
    </row>
    <row r="164" spans="2:21" ht="18" x14ac:dyDescent="0.35">
      <c r="B164" t="str">
        <f>IF(A164="", "", IF(Q164="", "", IF(Q164=TIME(0,30,0), "Half Hour", IF(Q164=TIME(1,0,0), "Hour", TEXT(Q164*1440, "0") &amp; " Minutes"))))</f>
        <v/>
      </c>
      <c r="D164" s="9" t="str">
        <f t="shared" si="12"/>
        <v/>
      </c>
      <c r="E164" t="str">
        <f t="shared" si="13"/>
        <v/>
      </c>
      <c r="F164" s="9" t="str">
        <f t="shared" si="14"/>
        <v/>
      </c>
      <c r="G164" s="10"/>
      <c r="H164" s="10" t="str">
        <f>IF(A164="","",G164+Q164)</f>
        <v/>
      </c>
      <c r="M164" t="str">
        <f>IF(A164="","",IF(Q164="", "", ROUND(20 * EXP(LN(50/20) * ((HOUR(Q164)*60 + MINUTE(Q164) - 30) / 30)), 2) * R164 * (1 - S164)))</f>
        <v/>
      </c>
      <c r="P164" t="str" cm="1">
        <f t="array" aca="1" ref="P164" ca="1">IF(AND(A164&lt;&gt;"", C164&lt;&gt;""),
   SUMPRODUCT(--(TEXT(DATE(YEAR(TODAY()), MONTH(TODAY()), ROW(INDIRECT("1:" &amp; DAY(EOMONTH(TODAY(), 0))))), "dddd")=C164)),
   "")</f>
        <v/>
      </c>
      <c r="Q164" s="12"/>
      <c r="R164" s="11" t="str">
        <f t="shared" si="11"/>
        <v/>
      </c>
      <c r="U164" s="13"/>
    </row>
    <row r="165" spans="2:21" ht="18" x14ac:dyDescent="0.35">
      <c r="B165" t="str">
        <f>IF(A165="", "", IF(Q165="", "", IF(Q165=TIME(0,30,0), "Half Hour", IF(Q165=TIME(1,0,0), "Hour", TEXT(Q165*1440, "0") &amp; " Minutes"))))</f>
        <v/>
      </c>
      <c r="D165" s="9" t="str">
        <f t="shared" si="12"/>
        <v/>
      </c>
      <c r="E165" t="str">
        <f t="shared" si="13"/>
        <v/>
      </c>
      <c r="F165" s="9" t="str">
        <f t="shared" si="14"/>
        <v/>
      </c>
      <c r="G165" s="10"/>
      <c r="H165" s="10" t="str">
        <f>IF(A165="","",G165+Q165)</f>
        <v/>
      </c>
      <c r="M165" t="str">
        <f>IF(A165="","",IF(Q165="", "", ROUND(20 * EXP(LN(50/20) * ((HOUR(Q165)*60 + MINUTE(Q165) - 30) / 30)), 2) * R165 * (1 - S165)))</f>
        <v/>
      </c>
      <c r="P165" t="str" cm="1">
        <f t="array" aca="1" ref="P165" ca="1">IF(AND(A165&lt;&gt;"", C165&lt;&gt;""),
   SUMPRODUCT(--(TEXT(DATE(YEAR(TODAY()), MONTH(TODAY()), ROW(INDIRECT("1:" &amp; DAY(EOMONTH(TODAY(), 0))))), "dddd")=C165)),
   "")</f>
        <v/>
      </c>
      <c r="Q165" s="12"/>
      <c r="R165" s="11" t="str">
        <f t="shared" si="11"/>
        <v/>
      </c>
      <c r="U165" s="13"/>
    </row>
    <row r="166" spans="2:21" ht="18" x14ac:dyDescent="0.35">
      <c r="B166" t="str">
        <f>IF(A166="", "", IF(Q166="", "", IF(Q166=TIME(0,30,0), "Half Hour", IF(Q166=TIME(1,0,0), "Hour", TEXT(Q166*1440, "0") &amp; " Minutes"))))</f>
        <v/>
      </c>
      <c r="D166" s="9" t="str">
        <f t="shared" si="12"/>
        <v/>
      </c>
      <c r="E166" t="str">
        <f t="shared" si="13"/>
        <v/>
      </c>
      <c r="F166" s="9" t="str">
        <f t="shared" si="14"/>
        <v/>
      </c>
      <c r="G166" s="10"/>
      <c r="H166" s="10" t="str">
        <f>IF(A166="","",G166+Q166)</f>
        <v/>
      </c>
      <c r="M166" t="str">
        <f>IF(A166="","",IF(Q166="", "", ROUND(20 * EXP(LN(50/20) * ((HOUR(Q166)*60 + MINUTE(Q166) - 30) / 30)), 2) * R166 * (1 - S166)))</f>
        <v/>
      </c>
      <c r="P166" t="str" cm="1">
        <f t="array" aca="1" ref="P166" ca="1">IF(AND(A166&lt;&gt;"", C166&lt;&gt;""),
   SUMPRODUCT(--(TEXT(DATE(YEAR(TODAY()), MONTH(TODAY()), ROW(INDIRECT("1:" &amp; DAY(EOMONTH(TODAY(), 0))))), "dddd")=C166)),
   "")</f>
        <v/>
      </c>
      <c r="Q166" s="12"/>
      <c r="R166" s="11" t="str">
        <f t="shared" si="11"/>
        <v/>
      </c>
      <c r="U166" s="13"/>
    </row>
    <row r="167" spans="2:21" ht="18" x14ac:dyDescent="0.35">
      <c r="B167" t="str">
        <f>IF(A167="", "", IF(Q167="", "", IF(Q167=TIME(0,30,0), "Half Hour", IF(Q167=TIME(1,0,0), "Hour", TEXT(Q167*1440, "0") &amp; " Minutes"))))</f>
        <v/>
      </c>
      <c r="D167" s="9" t="str">
        <f t="shared" si="12"/>
        <v/>
      </c>
      <c r="E167" t="str">
        <f t="shared" si="13"/>
        <v/>
      </c>
      <c r="F167" s="9" t="str">
        <f t="shared" si="14"/>
        <v/>
      </c>
      <c r="G167" s="10"/>
      <c r="H167" s="10" t="str">
        <f>IF(A167="","",G167+Q167)</f>
        <v/>
      </c>
      <c r="M167" t="str">
        <f>IF(A167="","",IF(Q167="", "", ROUND(20 * EXP(LN(50/20) * ((HOUR(Q167)*60 + MINUTE(Q167) - 30) / 30)), 2) * R167 * (1 - S167)))</f>
        <v/>
      </c>
      <c r="P167" t="str" cm="1">
        <f t="array" aca="1" ref="P167" ca="1">IF(AND(A167&lt;&gt;"", C167&lt;&gt;""),
   SUMPRODUCT(--(TEXT(DATE(YEAR(TODAY()), MONTH(TODAY()), ROW(INDIRECT("1:" &amp; DAY(EOMONTH(TODAY(), 0))))), "dddd")=C167)),
   "")</f>
        <v/>
      </c>
      <c r="Q167" s="12"/>
      <c r="R167" s="11" t="str">
        <f t="shared" si="11"/>
        <v/>
      </c>
      <c r="U167" s="13"/>
    </row>
    <row r="168" spans="2:21" ht="18" x14ac:dyDescent="0.35">
      <c r="B168" t="str">
        <f>IF(A168="", "", IF(Q168="", "", IF(Q168=TIME(0,30,0), "Half Hour", IF(Q168=TIME(1,0,0), "Hour", TEXT(Q168*1440, "0") &amp; " Minutes"))))</f>
        <v/>
      </c>
      <c r="D168" s="9" t="str">
        <f t="shared" si="12"/>
        <v/>
      </c>
      <c r="E168" t="str">
        <f t="shared" si="13"/>
        <v/>
      </c>
      <c r="F168" s="9" t="str">
        <f t="shared" si="14"/>
        <v/>
      </c>
      <c r="G168" s="10"/>
      <c r="H168" s="10" t="str">
        <f>IF(A168="","",G168+Q168)</f>
        <v/>
      </c>
      <c r="M168" t="str">
        <f>IF(A168="","",IF(Q168="", "", ROUND(20 * EXP(LN(50/20) * ((HOUR(Q168)*60 + MINUTE(Q168) - 30) / 30)), 2) * R168 * (1 - S168)))</f>
        <v/>
      </c>
      <c r="P168" t="str" cm="1">
        <f t="array" aca="1" ref="P168" ca="1">IF(AND(A168&lt;&gt;"", C168&lt;&gt;""),
   SUMPRODUCT(--(TEXT(DATE(YEAR(TODAY()), MONTH(TODAY()), ROW(INDIRECT("1:" &amp; DAY(EOMONTH(TODAY(), 0))))), "dddd")=C168)),
   "")</f>
        <v/>
      </c>
      <c r="Q168" s="12"/>
      <c r="R168" s="11" t="str">
        <f t="shared" si="11"/>
        <v/>
      </c>
      <c r="U168" s="13"/>
    </row>
    <row r="169" spans="2:21" ht="18" x14ac:dyDescent="0.35">
      <c r="B169" t="str">
        <f>IF(A169="", "", IF(Q169="", "", IF(Q169=TIME(0,30,0), "Half Hour", IF(Q169=TIME(1,0,0), "Hour", TEXT(Q169*1440, "0") &amp; " Minutes"))))</f>
        <v/>
      </c>
      <c r="D169" s="9" t="str">
        <f t="shared" si="12"/>
        <v/>
      </c>
      <c r="E169" t="str">
        <f t="shared" si="13"/>
        <v/>
      </c>
      <c r="F169" s="9" t="str">
        <f t="shared" si="14"/>
        <v/>
      </c>
      <c r="G169" s="10"/>
      <c r="H169" s="10" t="str">
        <f>IF(A169="","",G169+Q169)</f>
        <v/>
      </c>
      <c r="M169" t="str">
        <f>IF(A169="","",IF(Q169="", "", ROUND(20 * EXP(LN(50/20) * ((HOUR(Q169)*60 + MINUTE(Q169) - 30) / 30)), 2) * R169 * (1 - S169)))</f>
        <v/>
      </c>
      <c r="P169" t="str" cm="1">
        <f t="array" aca="1" ref="P169" ca="1">IF(AND(A169&lt;&gt;"", C169&lt;&gt;""),
   SUMPRODUCT(--(TEXT(DATE(YEAR(TODAY()), MONTH(TODAY()), ROW(INDIRECT("1:" &amp; DAY(EOMONTH(TODAY(), 0))))), "dddd")=C169)),
   "")</f>
        <v/>
      </c>
      <c r="Q169" s="12"/>
      <c r="R169" s="11" t="str">
        <f t="shared" si="11"/>
        <v/>
      </c>
      <c r="U169" s="13"/>
    </row>
    <row r="170" spans="2:21" ht="18" x14ac:dyDescent="0.35">
      <c r="B170" t="str">
        <f>IF(A170="", "", IF(Q170="", "", IF(Q170=TIME(0,30,0), "Half Hour", IF(Q170=TIME(1,0,0), "Hour", TEXT(Q170*1440, "0") &amp; " Minutes"))))</f>
        <v/>
      </c>
      <c r="D170" s="9" t="str">
        <f t="shared" si="12"/>
        <v/>
      </c>
      <c r="E170" t="str">
        <f t="shared" si="13"/>
        <v/>
      </c>
      <c r="F170" s="9" t="str">
        <f t="shared" si="14"/>
        <v/>
      </c>
      <c r="G170" s="10"/>
      <c r="H170" s="10" t="str">
        <f>IF(A170="","",G170+Q170)</f>
        <v/>
      </c>
      <c r="M170" t="str">
        <f>IF(A170="","",IF(Q170="", "", ROUND(20 * EXP(LN(50/20) * ((HOUR(Q170)*60 + MINUTE(Q170) - 30) / 30)), 2) * R170 * (1 - S170)))</f>
        <v/>
      </c>
      <c r="P170" t="str" cm="1">
        <f t="array" aca="1" ref="P170" ca="1">IF(AND(A170&lt;&gt;"", C170&lt;&gt;""),
   SUMPRODUCT(--(TEXT(DATE(YEAR(TODAY()), MONTH(TODAY()), ROW(INDIRECT("1:" &amp; DAY(EOMONTH(TODAY(), 0))))), "dddd")=C170)),
   "")</f>
        <v/>
      </c>
      <c r="Q170" s="12"/>
      <c r="R170" s="11" t="str">
        <f t="shared" si="11"/>
        <v/>
      </c>
      <c r="U170" s="13"/>
    </row>
    <row r="171" spans="2:21" ht="18" x14ac:dyDescent="0.35">
      <c r="B171" t="str">
        <f>IF(A171="", "", IF(Q171="", "", IF(Q171=TIME(0,30,0), "Half Hour", IF(Q171=TIME(1,0,0), "Hour", TEXT(Q171*1440, "0") &amp; " Minutes"))))</f>
        <v/>
      </c>
      <c r="D171" s="9" t="str">
        <f t="shared" si="12"/>
        <v/>
      </c>
      <c r="E171" t="str">
        <f t="shared" si="13"/>
        <v/>
      </c>
      <c r="F171" s="9" t="str">
        <f t="shared" si="14"/>
        <v/>
      </c>
      <c r="G171" s="10"/>
      <c r="H171" s="10" t="str">
        <f>IF(A171="","",G171+Q171)</f>
        <v/>
      </c>
      <c r="M171" t="str">
        <f>IF(A171="","",IF(Q171="", "", ROUND(20 * EXP(LN(50/20) * ((HOUR(Q171)*60 + MINUTE(Q171) - 30) / 30)), 2) * R171 * (1 - S171)))</f>
        <v/>
      </c>
      <c r="P171" t="str" cm="1">
        <f t="array" aca="1" ref="P171" ca="1">IF(AND(A171&lt;&gt;"", C171&lt;&gt;""),
   SUMPRODUCT(--(TEXT(DATE(YEAR(TODAY()), MONTH(TODAY()), ROW(INDIRECT("1:" &amp; DAY(EOMONTH(TODAY(), 0))))), "dddd")=C171)),
   "")</f>
        <v/>
      </c>
      <c r="Q171" s="12"/>
      <c r="R171" s="11" t="str">
        <f t="shared" si="11"/>
        <v/>
      </c>
      <c r="U171" s="13"/>
    </row>
    <row r="172" spans="2:21" ht="18" x14ac:dyDescent="0.35">
      <c r="B172" t="str">
        <f>IF(A172="", "", IF(Q172="", "", IF(Q172=TIME(0,30,0), "Half Hour", IF(Q172=TIME(1,0,0), "Hour", TEXT(Q172*1440, "0") &amp; " Minutes"))))</f>
        <v/>
      </c>
      <c r="D172" s="9" t="str">
        <f t="shared" si="12"/>
        <v/>
      </c>
      <c r="E172" t="str">
        <f t="shared" si="13"/>
        <v/>
      </c>
      <c r="F172" s="9" t="str">
        <f t="shared" si="14"/>
        <v/>
      </c>
      <c r="G172" s="10"/>
      <c r="H172" s="10" t="str">
        <f>IF(A172="","",G172+Q172)</f>
        <v/>
      </c>
      <c r="M172" t="str">
        <f>IF(A172="","",IF(Q172="", "", ROUND(20 * EXP(LN(50/20) * ((HOUR(Q172)*60 + MINUTE(Q172) - 30) / 30)), 2) * R172 * (1 - S172)))</f>
        <v/>
      </c>
      <c r="P172" t="str" cm="1">
        <f t="array" aca="1" ref="P172" ca="1">IF(AND(A172&lt;&gt;"", C172&lt;&gt;""),
   SUMPRODUCT(--(TEXT(DATE(YEAR(TODAY()), MONTH(TODAY()), ROW(INDIRECT("1:" &amp; DAY(EOMONTH(TODAY(), 0))))), "dddd")=C172)),
   "")</f>
        <v/>
      </c>
      <c r="Q172" s="12"/>
      <c r="R172" s="11" t="str">
        <f t="shared" si="11"/>
        <v/>
      </c>
      <c r="U172" s="13"/>
    </row>
    <row r="173" spans="2:21" ht="18" x14ac:dyDescent="0.35">
      <c r="B173" t="str">
        <f>IF(A173="", "", IF(Q173="", "", IF(Q173=TIME(0,30,0), "Half Hour", IF(Q173=TIME(1,0,0), "Hour", TEXT(Q173*1440, "0") &amp; " Minutes"))))</f>
        <v/>
      </c>
      <c r="D173" s="9" t="str">
        <f t="shared" si="12"/>
        <v/>
      </c>
      <c r="E173" t="str">
        <f t="shared" si="13"/>
        <v/>
      </c>
      <c r="F173" s="9" t="str">
        <f t="shared" si="14"/>
        <v/>
      </c>
      <c r="G173" s="10"/>
      <c r="H173" s="10" t="str">
        <f>IF(A173="","",G173+Q173)</f>
        <v/>
      </c>
      <c r="M173" t="str">
        <f>IF(A173="","",IF(Q173="", "", ROUND(20 * EXP(LN(50/20) * ((HOUR(Q173)*60 + MINUTE(Q173) - 30) / 30)), 2) * R173 * (1 - S173)))</f>
        <v/>
      </c>
      <c r="P173" t="str" cm="1">
        <f t="array" aca="1" ref="P173" ca="1">IF(AND(A173&lt;&gt;"", C173&lt;&gt;""),
   SUMPRODUCT(--(TEXT(DATE(YEAR(TODAY()), MONTH(TODAY()), ROW(INDIRECT("1:" &amp; DAY(EOMONTH(TODAY(), 0))))), "dddd")=C173)),
   "")</f>
        <v/>
      </c>
      <c r="Q173" s="12"/>
      <c r="R173" s="11" t="str">
        <f t="shared" si="11"/>
        <v/>
      </c>
      <c r="U173" s="13"/>
    </row>
    <row r="174" spans="2:21" ht="18" x14ac:dyDescent="0.35">
      <c r="B174" t="str">
        <f>IF(A174="", "", IF(Q174="", "", IF(Q174=TIME(0,30,0), "Half Hour", IF(Q174=TIME(1,0,0), "Hour", TEXT(Q174*1440, "0") &amp; " Minutes"))))</f>
        <v/>
      </c>
      <c r="D174" s="9" t="str">
        <f t="shared" si="12"/>
        <v/>
      </c>
      <c r="E174" t="str">
        <f t="shared" si="13"/>
        <v/>
      </c>
      <c r="F174" s="9" t="str">
        <f t="shared" si="14"/>
        <v/>
      </c>
      <c r="G174" s="10"/>
      <c r="H174" s="10" t="str">
        <f>IF(A174="","",G174+Q174)</f>
        <v/>
      </c>
      <c r="M174" t="str">
        <f>IF(A174="","",IF(Q174="", "", ROUND(20 * EXP(LN(50/20) * ((HOUR(Q174)*60 + MINUTE(Q174) - 30) / 30)), 2) * R174 * (1 - S174)))</f>
        <v/>
      </c>
      <c r="P174" t="str" cm="1">
        <f t="array" aca="1" ref="P174" ca="1">IF(AND(A174&lt;&gt;"", C174&lt;&gt;""),
   SUMPRODUCT(--(TEXT(DATE(YEAR(TODAY()), MONTH(TODAY()), ROW(INDIRECT("1:" &amp; DAY(EOMONTH(TODAY(), 0))))), "dddd")=C174)),
   "")</f>
        <v/>
      </c>
      <c r="Q174" s="12"/>
      <c r="R174" s="11" t="str">
        <f t="shared" si="11"/>
        <v/>
      </c>
      <c r="U174" s="13"/>
    </row>
    <row r="175" spans="2:21" ht="18" x14ac:dyDescent="0.35">
      <c r="B175" t="str">
        <f>IF(A175="", "", IF(Q175="", "", IF(Q175=TIME(0,30,0), "Half Hour", IF(Q175=TIME(1,0,0), "Hour", TEXT(Q175*1440, "0") &amp; " Minutes"))))</f>
        <v/>
      </c>
      <c r="D175" s="9" t="str">
        <f t="shared" si="12"/>
        <v/>
      </c>
      <c r="E175" t="str">
        <f t="shared" si="13"/>
        <v/>
      </c>
      <c r="F175" s="9" t="str">
        <f t="shared" si="14"/>
        <v/>
      </c>
      <c r="G175" s="10"/>
      <c r="H175" s="10" t="str">
        <f>IF(A175="","",G175+Q175)</f>
        <v/>
      </c>
      <c r="M175" t="str">
        <f>IF(A175="","",IF(Q175="", "", ROUND(20 * EXP(LN(50/20) * ((HOUR(Q175)*60 + MINUTE(Q175) - 30) / 30)), 2) * R175 * (1 - S175)))</f>
        <v/>
      </c>
      <c r="P175" t="str" cm="1">
        <f t="array" aca="1" ref="P175" ca="1">IF(AND(A175&lt;&gt;"", C175&lt;&gt;""),
   SUMPRODUCT(--(TEXT(DATE(YEAR(TODAY()), MONTH(TODAY()), ROW(INDIRECT("1:" &amp; DAY(EOMONTH(TODAY(), 0))))), "dddd")=C175)),
   "")</f>
        <v/>
      </c>
      <c r="Q175" s="12"/>
      <c r="R175" s="11" t="str">
        <f t="shared" si="11"/>
        <v/>
      </c>
      <c r="U175" s="13"/>
    </row>
    <row r="176" spans="2:21" ht="18" x14ac:dyDescent="0.35">
      <c r="B176" t="str">
        <f>IF(A176="", "", IF(Q176="", "", IF(Q176=TIME(0,30,0), "Half Hour", IF(Q176=TIME(1,0,0), "Hour", TEXT(Q176*1440, "0") &amp; " Minutes"))))</f>
        <v/>
      </c>
      <c r="D176" s="9" t="str">
        <f t="shared" si="12"/>
        <v/>
      </c>
      <c r="E176" t="str">
        <f t="shared" si="13"/>
        <v/>
      </c>
      <c r="F176" s="9" t="str">
        <f t="shared" si="14"/>
        <v/>
      </c>
      <c r="G176" s="10"/>
      <c r="H176" s="10" t="str">
        <f>IF(A176="","",G176+Q176)</f>
        <v/>
      </c>
      <c r="M176" t="str">
        <f>IF(A176="","",IF(Q176="", "", ROUND(20 * EXP(LN(50/20) * ((HOUR(Q176)*60 + MINUTE(Q176) - 30) / 30)), 2) * R176 * (1 - S176)))</f>
        <v/>
      </c>
      <c r="P176" t="str" cm="1">
        <f t="array" aca="1" ref="P176" ca="1">IF(AND(A176&lt;&gt;"", C176&lt;&gt;""),
   SUMPRODUCT(--(TEXT(DATE(YEAR(TODAY()), MONTH(TODAY()), ROW(INDIRECT("1:" &amp; DAY(EOMONTH(TODAY(), 0))))), "dddd")=C176)),
   "")</f>
        <v/>
      </c>
      <c r="Q176" s="12"/>
      <c r="R176" s="11" t="str">
        <f t="shared" si="11"/>
        <v/>
      </c>
      <c r="U176" s="13"/>
    </row>
    <row r="177" spans="2:21" ht="18" x14ac:dyDescent="0.35">
      <c r="B177" t="str">
        <f>IF(A177="", "", IF(Q177="", "", IF(Q177=TIME(0,30,0), "Half Hour", IF(Q177=TIME(1,0,0), "Hour", TEXT(Q177*1440, "0") &amp; " Minutes"))))</f>
        <v/>
      </c>
      <c r="D177" s="9" t="str">
        <f t="shared" si="12"/>
        <v/>
      </c>
      <c r="E177" t="str">
        <f t="shared" si="13"/>
        <v/>
      </c>
      <c r="F177" s="9" t="str">
        <f t="shared" si="14"/>
        <v/>
      </c>
      <c r="G177" s="10"/>
      <c r="H177" s="10" t="str">
        <f>IF(A177="","",G177+Q177)</f>
        <v/>
      </c>
      <c r="M177" t="str">
        <f>IF(A177="","",IF(Q177="", "", ROUND(20 * EXP(LN(50/20) * ((HOUR(Q177)*60 + MINUTE(Q177) - 30) / 30)), 2) * R177 * (1 - S177)))</f>
        <v/>
      </c>
      <c r="P177" t="str" cm="1">
        <f t="array" aca="1" ref="P177" ca="1">IF(AND(A177&lt;&gt;"", C177&lt;&gt;""),
   SUMPRODUCT(--(TEXT(DATE(YEAR(TODAY()), MONTH(TODAY()), ROW(INDIRECT("1:" &amp; DAY(EOMONTH(TODAY(), 0))))), "dddd")=C177)),
   "")</f>
        <v/>
      </c>
      <c r="Q177" s="12"/>
      <c r="R177" s="11" t="str">
        <f t="shared" si="11"/>
        <v/>
      </c>
      <c r="U177" s="13"/>
    </row>
    <row r="178" spans="2:21" ht="18" x14ac:dyDescent="0.35">
      <c r="B178" t="str">
        <f>IF(A178="", "", IF(Q178="", "", IF(Q178=TIME(0,30,0), "Half Hour", IF(Q178=TIME(1,0,0), "Hour", TEXT(Q178*1440, "0") &amp; " Minutes"))))</f>
        <v/>
      </c>
      <c r="D178" s="9" t="str">
        <f t="shared" si="12"/>
        <v/>
      </c>
      <c r="E178" t="str">
        <f t="shared" si="13"/>
        <v/>
      </c>
      <c r="F178" s="9" t="str">
        <f t="shared" si="14"/>
        <v/>
      </c>
      <c r="G178" s="10"/>
      <c r="H178" s="10" t="str">
        <f>IF(A178="","",G178+Q178)</f>
        <v/>
      </c>
      <c r="M178" t="str">
        <f>IF(A178="","",IF(Q178="", "", ROUND(20 * EXP(LN(50/20) * ((HOUR(Q178)*60 + MINUTE(Q178) - 30) / 30)), 2) * R178 * (1 - S178)))</f>
        <v/>
      </c>
      <c r="P178" t="str" cm="1">
        <f t="array" aca="1" ref="P178" ca="1">IF(AND(A178&lt;&gt;"", C178&lt;&gt;""),
   SUMPRODUCT(--(TEXT(DATE(YEAR(TODAY()), MONTH(TODAY()), ROW(INDIRECT("1:" &amp; DAY(EOMONTH(TODAY(), 0))))), "dddd")=C178)),
   "")</f>
        <v/>
      </c>
      <c r="Q178" s="12"/>
      <c r="R178" s="11" t="str">
        <f t="shared" si="11"/>
        <v/>
      </c>
      <c r="U178" s="13"/>
    </row>
    <row r="179" spans="2:21" ht="18" x14ac:dyDescent="0.35">
      <c r="B179" t="str">
        <f>IF(A179="", "", IF(Q179="", "", IF(Q179=TIME(0,30,0), "Half Hour", IF(Q179=TIME(1,0,0), "Hour", TEXT(Q179*1440, "0") &amp; " Minutes"))))</f>
        <v/>
      </c>
      <c r="D179" s="9" t="str">
        <f t="shared" si="12"/>
        <v/>
      </c>
      <c r="E179" t="str">
        <f t="shared" si="13"/>
        <v/>
      </c>
      <c r="F179" s="9" t="str">
        <f t="shared" si="14"/>
        <v/>
      </c>
      <c r="G179" s="10"/>
      <c r="H179" s="10" t="str">
        <f>IF(A179="","",G179+Q179)</f>
        <v/>
      </c>
      <c r="M179" t="str">
        <f>IF(A179="","",IF(Q179="", "", ROUND(20 * EXP(LN(50/20) * ((HOUR(Q179)*60 + MINUTE(Q179) - 30) / 30)), 2) * R179 * (1 - S179)))</f>
        <v/>
      </c>
      <c r="P179" t="str" cm="1">
        <f t="array" aca="1" ref="P179" ca="1">IF(AND(A179&lt;&gt;"", C179&lt;&gt;""),
   SUMPRODUCT(--(TEXT(DATE(YEAR(TODAY()), MONTH(TODAY()), ROW(INDIRECT("1:" &amp; DAY(EOMONTH(TODAY(), 0))))), "dddd")=C179)),
   "")</f>
        <v/>
      </c>
      <c r="Q179" s="12"/>
      <c r="R179" s="11" t="str">
        <f t="shared" si="11"/>
        <v/>
      </c>
      <c r="U179" s="13"/>
    </row>
    <row r="180" spans="2:21" ht="18" x14ac:dyDescent="0.35">
      <c r="B180" t="str">
        <f>IF(A180="", "", IF(Q180="", "", IF(Q180=TIME(0,30,0), "Half Hour", IF(Q180=TIME(1,0,0), "Hour", TEXT(Q180*1440, "0") &amp; " Minutes"))))</f>
        <v/>
      </c>
      <c r="D180" s="9" t="str">
        <f t="shared" si="12"/>
        <v/>
      </c>
      <c r="E180" t="str">
        <f t="shared" si="13"/>
        <v/>
      </c>
      <c r="F180" s="9" t="str">
        <f t="shared" si="14"/>
        <v/>
      </c>
      <c r="G180" s="10"/>
      <c r="H180" s="10" t="str">
        <f>IF(A180="","",G180+Q180)</f>
        <v/>
      </c>
      <c r="M180" t="str">
        <f>IF(A180="","",IF(Q180="", "", ROUND(20 * EXP(LN(50/20) * ((HOUR(Q180)*60 + MINUTE(Q180) - 30) / 30)), 2) * R180 * (1 - S180)))</f>
        <v/>
      </c>
      <c r="P180" t="str" cm="1">
        <f t="array" aca="1" ref="P180" ca="1">IF(AND(A180&lt;&gt;"", C180&lt;&gt;""),
   SUMPRODUCT(--(TEXT(DATE(YEAR(TODAY()), MONTH(TODAY()), ROW(INDIRECT("1:" &amp; DAY(EOMONTH(TODAY(), 0))))), "dddd")=C180)),
   "")</f>
        <v/>
      </c>
      <c r="Q180" s="12"/>
      <c r="R180" s="11" t="str">
        <f t="shared" si="11"/>
        <v/>
      </c>
      <c r="U180" s="13"/>
    </row>
    <row r="181" spans="2:21" ht="18" x14ac:dyDescent="0.35">
      <c r="B181" t="str">
        <f>IF(A181="", "", IF(Q181="", "", IF(Q181=TIME(0,30,0), "Half Hour", IF(Q181=TIME(1,0,0), "Hour", TEXT(Q181*1440, "0") &amp; " Minutes"))))</f>
        <v/>
      </c>
      <c r="D181" s="9" t="str">
        <f t="shared" si="12"/>
        <v/>
      </c>
      <c r="E181" t="str">
        <f t="shared" si="13"/>
        <v/>
      </c>
      <c r="F181" s="9" t="str">
        <f t="shared" si="14"/>
        <v/>
      </c>
      <c r="G181" s="10"/>
      <c r="H181" s="10" t="str">
        <f>IF(A181="","",G181+Q181)</f>
        <v/>
      </c>
      <c r="M181" t="str">
        <f>IF(A181="","",IF(Q181="", "", ROUND(20 * EXP(LN(50/20) * ((HOUR(Q181)*60 + MINUTE(Q181) - 30) / 30)), 2) * R181 * (1 - S181)))</f>
        <v/>
      </c>
      <c r="P181" t="str" cm="1">
        <f t="array" aca="1" ref="P181" ca="1">IF(AND(A181&lt;&gt;"", C181&lt;&gt;""),
   SUMPRODUCT(--(TEXT(DATE(YEAR(TODAY()), MONTH(TODAY()), ROW(INDIRECT("1:" &amp; DAY(EOMONTH(TODAY(), 0))))), "dddd")=C181)),
   "")</f>
        <v/>
      </c>
      <c r="Q181" s="12"/>
      <c r="R181" s="11" t="str">
        <f t="shared" si="11"/>
        <v/>
      </c>
      <c r="U181" s="13"/>
    </row>
    <row r="182" spans="2:21" ht="18" x14ac:dyDescent="0.35">
      <c r="B182" t="str">
        <f>IF(A182="", "", IF(Q182="", "", IF(Q182=TIME(0,30,0), "Half Hour", IF(Q182=TIME(1,0,0), "Hour", TEXT(Q182*1440, "0") &amp; " Minutes"))))</f>
        <v/>
      </c>
      <c r="D182" s="9" t="str">
        <f t="shared" si="12"/>
        <v/>
      </c>
      <c r="E182" t="str">
        <f t="shared" si="13"/>
        <v/>
      </c>
      <c r="F182" s="9" t="str">
        <f t="shared" si="14"/>
        <v/>
      </c>
      <c r="G182" s="10"/>
      <c r="H182" s="10" t="str">
        <f>IF(A182="","",G182+Q182)</f>
        <v/>
      </c>
      <c r="M182" t="str">
        <f>IF(A182="","",IF(Q182="", "", ROUND(20 * EXP(LN(50/20) * ((HOUR(Q182)*60 + MINUTE(Q182) - 30) / 30)), 2) * R182 * (1 - S182)))</f>
        <v/>
      </c>
      <c r="P182" t="str" cm="1">
        <f t="array" aca="1" ref="P182" ca="1">IF(AND(A182&lt;&gt;"", C182&lt;&gt;""),
   SUMPRODUCT(--(TEXT(DATE(YEAR(TODAY()), MONTH(TODAY()), ROW(INDIRECT("1:" &amp; DAY(EOMONTH(TODAY(), 0))))), "dddd")=C182)),
   "")</f>
        <v/>
      </c>
      <c r="Q182" s="12"/>
      <c r="R182" s="11" t="str">
        <f t="shared" si="11"/>
        <v/>
      </c>
      <c r="U182" s="13"/>
    </row>
    <row r="183" spans="2:21" ht="18" x14ac:dyDescent="0.35">
      <c r="B183" t="str">
        <f>IF(A183="", "", IF(Q183="", "", IF(Q183=TIME(0,30,0), "Half Hour", IF(Q183=TIME(1,0,0), "Hour", TEXT(Q183*1440, "0") &amp; " Minutes"))))</f>
        <v/>
      </c>
      <c r="D183" s="9" t="str">
        <f t="shared" si="12"/>
        <v/>
      </c>
      <c r="E183" t="str">
        <f t="shared" si="13"/>
        <v/>
      </c>
      <c r="F183" s="9" t="str">
        <f t="shared" si="14"/>
        <v/>
      </c>
      <c r="G183" s="10"/>
      <c r="H183" s="10" t="str">
        <f>IF(A183="","",G183+Q183)</f>
        <v/>
      </c>
      <c r="M183" t="str">
        <f>IF(A183="","",IF(Q183="", "", ROUND(20 * EXP(LN(50/20) * ((HOUR(Q183)*60 + MINUTE(Q183) - 30) / 30)), 2) * R183 * (1 - S183)))</f>
        <v/>
      </c>
      <c r="P183" t="str" cm="1">
        <f t="array" aca="1" ref="P183" ca="1">IF(AND(A183&lt;&gt;"", C183&lt;&gt;""),
   SUMPRODUCT(--(TEXT(DATE(YEAR(TODAY()), MONTH(TODAY()), ROW(INDIRECT("1:" &amp; DAY(EOMONTH(TODAY(), 0))))), "dddd")=C183)),
   "")</f>
        <v/>
      </c>
      <c r="Q183" s="12"/>
      <c r="R183" s="11" t="str">
        <f t="shared" si="11"/>
        <v/>
      </c>
      <c r="U183" s="13"/>
    </row>
    <row r="184" spans="2:21" ht="18" x14ac:dyDescent="0.35">
      <c r="B184" t="str">
        <f>IF(A184="", "", IF(Q184="", "", IF(Q184=TIME(0,30,0), "Half Hour", IF(Q184=TIME(1,0,0), "Hour", TEXT(Q184*1440, "0") &amp; " Minutes"))))</f>
        <v/>
      </c>
      <c r="D184" s="9" t="str">
        <f t="shared" si="12"/>
        <v/>
      </c>
      <c r="E184" t="str">
        <f t="shared" si="13"/>
        <v/>
      </c>
      <c r="F184" s="9" t="str">
        <f t="shared" si="14"/>
        <v/>
      </c>
      <c r="G184" s="10"/>
      <c r="H184" s="10" t="str">
        <f>IF(A184="","",G184+Q184)</f>
        <v/>
      </c>
      <c r="M184" t="str">
        <f>IF(A184="","",IF(Q184="", "", ROUND(20 * EXP(LN(50/20) * ((HOUR(Q184)*60 + MINUTE(Q184) - 30) / 30)), 2) * R184 * (1 - S184)))</f>
        <v/>
      </c>
      <c r="P184" t="str" cm="1">
        <f t="array" aca="1" ref="P184" ca="1">IF(AND(A184&lt;&gt;"", C184&lt;&gt;""),
   SUMPRODUCT(--(TEXT(DATE(YEAR(TODAY()), MONTH(TODAY()), ROW(INDIRECT("1:" &amp; DAY(EOMONTH(TODAY(), 0))))), "dddd")=C184)),
   "")</f>
        <v/>
      </c>
      <c r="Q184" s="12"/>
      <c r="R184" s="11" t="str">
        <f t="shared" si="11"/>
        <v/>
      </c>
      <c r="U184" s="13"/>
    </row>
    <row r="185" spans="2:21" ht="18" x14ac:dyDescent="0.35">
      <c r="B185" t="str">
        <f>IF(A185="", "", IF(Q185="", "", IF(Q185=TIME(0,30,0), "Half Hour", IF(Q185=TIME(1,0,0), "Hour", TEXT(Q185*1440, "0") &amp; " Minutes"))))</f>
        <v/>
      </c>
      <c r="D185" s="9" t="str">
        <f t="shared" si="12"/>
        <v/>
      </c>
      <c r="E185" t="str">
        <f t="shared" si="13"/>
        <v/>
      </c>
      <c r="F185" s="9" t="str">
        <f t="shared" si="14"/>
        <v/>
      </c>
      <c r="G185" s="10"/>
      <c r="H185" s="10" t="str">
        <f>IF(A185="","",G185+Q185)</f>
        <v/>
      </c>
      <c r="M185" t="str">
        <f>IF(A185="","",IF(Q185="", "", ROUND(20 * EXP(LN(50/20) * ((HOUR(Q185)*60 + MINUTE(Q185) - 30) / 30)), 2) * R185 * (1 - S185)))</f>
        <v/>
      </c>
      <c r="P185" t="str" cm="1">
        <f t="array" aca="1" ref="P185" ca="1">IF(AND(A185&lt;&gt;"", C185&lt;&gt;""),
   SUMPRODUCT(--(TEXT(DATE(YEAR(TODAY()), MONTH(TODAY()), ROW(INDIRECT("1:" &amp; DAY(EOMONTH(TODAY(), 0))))), "dddd")=C185)),
   "")</f>
        <v/>
      </c>
      <c r="Q185" s="12"/>
      <c r="R185" s="11" t="str">
        <f t="shared" si="11"/>
        <v/>
      </c>
      <c r="U185" s="13"/>
    </row>
    <row r="186" spans="2:21" ht="18" x14ac:dyDescent="0.35">
      <c r="B186" t="str">
        <f>IF(A186="", "", IF(Q186="", "", IF(Q186=TIME(0,30,0), "Half Hour", IF(Q186=TIME(1,0,0), "Hour", TEXT(Q186*1440, "0") &amp; " Minutes"))))</f>
        <v/>
      </c>
      <c r="D186" s="9" t="str">
        <f t="shared" si="12"/>
        <v/>
      </c>
      <c r="E186" t="str">
        <f t="shared" si="13"/>
        <v/>
      </c>
      <c r="F186" s="9" t="str">
        <f t="shared" si="14"/>
        <v/>
      </c>
      <c r="G186" s="10"/>
      <c r="H186" s="10" t="str">
        <f>IF(A186="","",G186+Q186)</f>
        <v/>
      </c>
      <c r="M186" t="str">
        <f>IF(A186="","",IF(Q186="", "", ROUND(20 * EXP(LN(50/20) * ((HOUR(Q186)*60 + MINUTE(Q186) - 30) / 30)), 2) * R186 * (1 - S186)))</f>
        <v/>
      </c>
      <c r="P186" t="str" cm="1">
        <f t="array" aca="1" ref="P186" ca="1">IF(AND(A186&lt;&gt;"", C186&lt;&gt;""),
   SUMPRODUCT(--(TEXT(DATE(YEAR(TODAY()), MONTH(TODAY()), ROW(INDIRECT("1:" &amp; DAY(EOMONTH(TODAY(), 0))))), "dddd")=C186)),
   "")</f>
        <v/>
      </c>
      <c r="Q186" s="12"/>
      <c r="R186" s="11" t="str">
        <f t="shared" si="11"/>
        <v/>
      </c>
      <c r="U186" s="13"/>
    </row>
    <row r="187" spans="2:21" ht="18" x14ac:dyDescent="0.35">
      <c r="B187" t="str">
        <f>IF(A187="", "", IF(Q187="", "", IF(Q187=TIME(0,30,0), "Half Hour", IF(Q187=TIME(1,0,0), "Hour", TEXT(Q187*1440, "0") &amp; " Minutes"))))</f>
        <v/>
      </c>
      <c r="D187" s="9" t="str">
        <f t="shared" si="12"/>
        <v/>
      </c>
      <c r="E187" t="str">
        <f t="shared" si="13"/>
        <v/>
      </c>
      <c r="F187" s="9" t="str">
        <f t="shared" si="14"/>
        <v/>
      </c>
      <c r="G187" s="10"/>
      <c r="H187" s="10" t="str">
        <f>IF(A187="","",G187+Q187)</f>
        <v/>
      </c>
      <c r="M187" t="str">
        <f>IF(A187="","",IF(Q187="", "", ROUND(20 * EXP(LN(50/20) * ((HOUR(Q187)*60 + MINUTE(Q187) - 30) / 30)), 2) * R187 * (1 - S187)))</f>
        <v/>
      </c>
      <c r="P187" t="str" cm="1">
        <f t="array" aca="1" ref="P187" ca="1">IF(AND(A187&lt;&gt;"", C187&lt;&gt;""),
   SUMPRODUCT(--(TEXT(DATE(YEAR(TODAY()), MONTH(TODAY()), ROW(INDIRECT("1:" &amp; DAY(EOMONTH(TODAY(), 0))))), "dddd")=C187)),
   "")</f>
        <v/>
      </c>
      <c r="Q187" s="12"/>
      <c r="R187" s="11" t="str">
        <f t="shared" si="11"/>
        <v/>
      </c>
      <c r="U187" s="13"/>
    </row>
    <row r="188" spans="2:21" ht="18" x14ac:dyDescent="0.35">
      <c r="B188" t="str">
        <f>IF(A188="", "", IF(Q188="", "", IF(Q188=TIME(0,30,0), "Half Hour", IF(Q188=TIME(1,0,0), "Hour", TEXT(Q188*1440, "0") &amp; " Minutes"))))</f>
        <v/>
      </c>
      <c r="D188" s="9" t="str">
        <f t="shared" si="12"/>
        <v/>
      </c>
      <c r="E188" t="str">
        <f t="shared" si="13"/>
        <v/>
      </c>
      <c r="F188" s="9" t="str">
        <f t="shared" si="14"/>
        <v/>
      </c>
      <c r="G188" s="10"/>
      <c r="H188" s="10" t="str">
        <f>IF(A188="","",G188+Q188)</f>
        <v/>
      </c>
      <c r="M188" t="str">
        <f>IF(A188="","",IF(Q188="", "", ROUND(20 * EXP(LN(50/20) * ((HOUR(Q188)*60 + MINUTE(Q188) - 30) / 30)), 2) * R188 * (1 - S188)))</f>
        <v/>
      </c>
      <c r="P188" t="str" cm="1">
        <f t="array" aca="1" ref="P188" ca="1">IF(AND(A188&lt;&gt;"", C188&lt;&gt;""),
   SUMPRODUCT(--(TEXT(DATE(YEAR(TODAY()), MONTH(TODAY()), ROW(INDIRECT("1:" &amp; DAY(EOMONTH(TODAY(), 0))))), "dddd")=C188)),
   "")</f>
        <v/>
      </c>
      <c r="Q188" s="12"/>
      <c r="R188" s="11" t="str">
        <f t="shared" si="11"/>
        <v/>
      </c>
      <c r="U188" s="13"/>
    </row>
    <row r="189" spans="2:21" ht="18" x14ac:dyDescent="0.35">
      <c r="B189" t="str">
        <f>IF(A189="", "", IF(Q189="", "", IF(Q189=TIME(0,30,0), "Half Hour", IF(Q189=TIME(1,0,0), "Hour", TEXT(Q189*1440, "0") &amp; " Minutes"))))</f>
        <v/>
      </c>
      <c r="D189" s="9" t="str">
        <f t="shared" si="12"/>
        <v/>
      </c>
      <c r="E189" t="str">
        <f t="shared" si="13"/>
        <v/>
      </c>
      <c r="F189" s="9" t="str">
        <f t="shared" si="14"/>
        <v/>
      </c>
      <c r="G189" s="10"/>
      <c r="H189" s="10" t="str">
        <f>IF(A189="","",G189+Q189)</f>
        <v/>
      </c>
      <c r="M189" t="str">
        <f>IF(A189="","",IF(Q189="", "", ROUND(20 * EXP(LN(50/20) * ((HOUR(Q189)*60 + MINUTE(Q189) - 30) / 30)), 2) * R189 * (1 - S189)))</f>
        <v/>
      </c>
      <c r="P189" t="str" cm="1">
        <f t="array" aca="1" ref="P189" ca="1">IF(AND(A189&lt;&gt;"", C189&lt;&gt;""),
   SUMPRODUCT(--(TEXT(DATE(YEAR(TODAY()), MONTH(TODAY()), ROW(INDIRECT("1:" &amp; DAY(EOMONTH(TODAY(), 0))))), "dddd")=C189)),
   "")</f>
        <v/>
      </c>
      <c r="Q189" s="12"/>
      <c r="R189" s="11" t="str">
        <f t="shared" si="11"/>
        <v/>
      </c>
      <c r="U189" s="13"/>
    </row>
    <row r="190" spans="2:21" ht="18" x14ac:dyDescent="0.35">
      <c r="B190" t="str">
        <f>IF(A190="", "", IF(Q190="", "", IF(Q190=TIME(0,30,0), "Half Hour", IF(Q190=TIME(1,0,0), "Hour", TEXT(Q190*1440, "0") &amp; " Minutes"))))</f>
        <v/>
      </c>
      <c r="D190" s="9" t="str">
        <f t="shared" si="12"/>
        <v/>
      </c>
      <c r="E190" t="str">
        <f t="shared" si="13"/>
        <v/>
      </c>
      <c r="F190" s="9" t="str">
        <f t="shared" si="14"/>
        <v/>
      </c>
      <c r="G190" s="10"/>
      <c r="H190" s="10" t="str">
        <f>IF(A190="","",G190+Q190)</f>
        <v/>
      </c>
      <c r="M190" t="str">
        <f>IF(A190="","",IF(Q190="", "", ROUND(20 * EXP(LN(50/20) * ((HOUR(Q190)*60 + MINUTE(Q190) - 30) / 30)), 2) * R190 * (1 - S190)))</f>
        <v/>
      </c>
      <c r="P190" t="str" cm="1">
        <f t="array" aca="1" ref="P190" ca="1">IF(AND(A190&lt;&gt;"", C190&lt;&gt;""),
   SUMPRODUCT(--(TEXT(DATE(YEAR(TODAY()), MONTH(TODAY()), ROW(INDIRECT("1:" &amp; DAY(EOMONTH(TODAY(), 0))))), "dddd")=C190)),
   "")</f>
        <v/>
      </c>
      <c r="Q190" s="12"/>
      <c r="R190" s="11" t="str">
        <f t="shared" si="11"/>
        <v/>
      </c>
      <c r="U190" s="13"/>
    </row>
    <row r="191" spans="2:21" ht="18" x14ac:dyDescent="0.35">
      <c r="B191" t="str">
        <f>IF(A191="", "", IF(Q191="", "", IF(Q191=TIME(0,30,0), "Half Hour", IF(Q191=TIME(1,0,0), "Hour", TEXT(Q191*1440, "0") &amp; " Minutes"))))</f>
        <v/>
      </c>
      <c r="D191" s="9" t="str">
        <f t="shared" si="12"/>
        <v/>
      </c>
      <c r="E191" t="str">
        <f t="shared" si="13"/>
        <v/>
      </c>
      <c r="F191" s="9" t="str">
        <f t="shared" si="14"/>
        <v/>
      </c>
      <c r="G191" s="10"/>
      <c r="H191" s="10" t="str">
        <f>IF(A191="","",G191+Q191)</f>
        <v/>
      </c>
      <c r="M191" t="str">
        <f>IF(A191="","",IF(Q191="", "", ROUND(20 * EXP(LN(50/20) * ((HOUR(Q191)*60 + MINUTE(Q191) - 30) / 30)), 2) * R191 * (1 - S191)))</f>
        <v/>
      </c>
      <c r="P191" t="str" cm="1">
        <f t="array" aca="1" ref="P191" ca="1">IF(AND(A191&lt;&gt;"", C191&lt;&gt;""),
   SUMPRODUCT(--(TEXT(DATE(YEAR(TODAY()), MONTH(TODAY()), ROW(INDIRECT("1:" &amp; DAY(EOMONTH(TODAY(), 0))))), "dddd")=C191)),
   "")</f>
        <v/>
      </c>
      <c r="Q191" s="12"/>
      <c r="R191" s="11" t="str">
        <f t="shared" si="11"/>
        <v/>
      </c>
      <c r="U191" s="13"/>
    </row>
    <row r="192" spans="2:21" ht="18" x14ac:dyDescent="0.35">
      <c r="B192" t="str">
        <f>IF(A192="", "", IF(Q192="", "", IF(Q192=TIME(0,30,0), "Half Hour", IF(Q192=TIME(1,0,0), "Hour", TEXT(Q192*1440, "0") &amp; " Minutes"))))</f>
        <v/>
      </c>
      <c r="D192" s="9" t="str">
        <f t="shared" si="12"/>
        <v/>
      </c>
      <c r="E192" t="str">
        <f t="shared" si="13"/>
        <v/>
      </c>
      <c r="F192" s="9" t="str">
        <f t="shared" si="14"/>
        <v/>
      </c>
      <c r="G192" s="10"/>
      <c r="H192" s="10" t="str">
        <f>IF(A192="","",G192+Q192)</f>
        <v/>
      </c>
      <c r="M192" t="str">
        <f>IF(A192="","",IF(Q192="", "", ROUND(20 * EXP(LN(50/20) * ((HOUR(Q192)*60 + MINUTE(Q192) - 30) / 30)), 2) * R192 * (1 - S192)))</f>
        <v/>
      </c>
      <c r="P192" t="str" cm="1">
        <f t="array" aca="1" ref="P192" ca="1">IF(AND(A192&lt;&gt;"", C192&lt;&gt;""),
   SUMPRODUCT(--(TEXT(DATE(YEAR(TODAY()), MONTH(TODAY()), ROW(INDIRECT("1:" &amp; DAY(EOMONTH(TODAY(), 0))))), "dddd")=C192)),
   "")</f>
        <v/>
      </c>
      <c r="Q192" s="12"/>
      <c r="R192" s="11" t="str">
        <f t="shared" si="11"/>
        <v/>
      </c>
      <c r="U192" s="13"/>
    </row>
    <row r="193" spans="2:21" ht="18" x14ac:dyDescent="0.35">
      <c r="B193" t="str">
        <f>IF(A193="", "", IF(Q193="", "", IF(Q193=TIME(0,30,0), "Half Hour", IF(Q193=TIME(1,0,0), "Hour", TEXT(Q193*1440, "0") &amp; " Minutes"))))</f>
        <v/>
      </c>
      <c r="D193" s="9" t="str">
        <f t="shared" si="12"/>
        <v/>
      </c>
      <c r="E193" t="str">
        <f t="shared" si="13"/>
        <v/>
      </c>
      <c r="F193" s="9" t="str">
        <f t="shared" si="14"/>
        <v/>
      </c>
      <c r="G193" s="10"/>
      <c r="H193" s="10" t="str">
        <f>IF(A193="","",G193+Q193)</f>
        <v/>
      </c>
      <c r="M193" t="str">
        <f>IF(A193="","",IF(Q193="", "", ROUND(20 * EXP(LN(50/20) * ((HOUR(Q193)*60 + MINUTE(Q193) - 30) / 30)), 2) * R193 * (1 - S193)))</f>
        <v/>
      </c>
      <c r="P193" t="str" cm="1">
        <f t="array" aca="1" ref="P193" ca="1">IF(AND(A193&lt;&gt;"", C193&lt;&gt;""),
   SUMPRODUCT(--(TEXT(DATE(YEAR(TODAY()), MONTH(TODAY()), ROW(INDIRECT("1:" &amp; DAY(EOMONTH(TODAY(), 0))))), "dddd")=C193)),
   "")</f>
        <v/>
      </c>
      <c r="Q193" s="12"/>
      <c r="R193" s="11" t="str">
        <f t="shared" ref="R193:R256" si="15">IF(A193="", "", IFERROR(VALUE(MID(A193,FIND("(",A193)+1,FIND(")",A193)-FIND("(",A193)-1)), 1))</f>
        <v/>
      </c>
      <c r="U193" s="13"/>
    </row>
    <row r="194" spans="2:21" ht="18" x14ac:dyDescent="0.35">
      <c r="B194" t="str">
        <f>IF(A194="", "", IF(Q194="", "", IF(Q194=TIME(0,30,0), "Half Hour", IF(Q194=TIME(1,0,0), "Hour", TEXT(Q194*1440, "0") &amp; " Minutes"))))</f>
        <v/>
      </c>
      <c r="D194" s="9" t="str">
        <f t="shared" si="12"/>
        <v/>
      </c>
      <c r="E194" t="str">
        <f t="shared" si="13"/>
        <v/>
      </c>
      <c r="F194" s="9" t="str">
        <f t="shared" si="14"/>
        <v/>
      </c>
      <c r="G194" s="10"/>
      <c r="H194" s="10" t="str">
        <f>IF(A194="","",G194+Q194)</f>
        <v/>
      </c>
      <c r="M194" t="str">
        <f>IF(A194="","",IF(Q194="", "", ROUND(20 * EXP(LN(50/20) * ((HOUR(Q194)*60 + MINUTE(Q194) - 30) / 30)), 2) * R194 * (1 - S194)))</f>
        <v/>
      </c>
      <c r="P194" t="str" cm="1">
        <f t="array" aca="1" ref="P194" ca="1">IF(AND(A194&lt;&gt;"", C194&lt;&gt;""),
   SUMPRODUCT(--(TEXT(DATE(YEAR(TODAY()), MONTH(TODAY()), ROW(INDIRECT("1:" &amp; DAY(EOMONTH(TODAY(), 0))))), "dddd")=C194)),
   "")</f>
        <v/>
      </c>
      <c r="Q194" s="12"/>
      <c r="R194" s="11" t="str">
        <f t="shared" si="15"/>
        <v/>
      </c>
      <c r="U194" s="13"/>
    </row>
    <row r="195" spans="2:21" ht="18" x14ac:dyDescent="0.35">
      <c r="B195" t="str">
        <f>IF(A195="", "", IF(Q195="", "", IF(Q195=TIME(0,30,0), "Half Hour", IF(Q195=TIME(1,0,0), "Hour", TEXT(Q195*1440, "0") &amp; " Minutes"))))</f>
        <v/>
      </c>
      <c r="D195" s="9" t="str">
        <f t="shared" ref="D195:D258" si="16">IF(A195="","",F195-IF(E195="",0,E195))</f>
        <v/>
      </c>
      <c r="E195" t="str">
        <f t="shared" ref="E195:E258" si="17">IF(A195="","",IF(L195="No","",1.5*O195))</f>
        <v/>
      </c>
      <c r="F195" s="9" t="str">
        <f t="shared" ref="F195:F258" si="18">IF(A195="","",M195*P195)</f>
        <v/>
      </c>
      <c r="G195" s="10"/>
      <c r="H195" s="10" t="str">
        <f>IF(A195="","",G195+Q195)</f>
        <v/>
      </c>
      <c r="M195" t="str">
        <f>IF(A195="","",IF(Q195="", "", ROUND(20 * EXP(LN(50/20) * ((HOUR(Q195)*60 + MINUTE(Q195) - 30) / 30)), 2) * R195 * (1 - S195)))</f>
        <v/>
      </c>
      <c r="P195" t="str" cm="1">
        <f t="array" aca="1" ref="P195" ca="1">IF(AND(A195&lt;&gt;"", C195&lt;&gt;""),
   SUMPRODUCT(--(TEXT(DATE(YEAR(TODAY()), MONTH(TODAY()), ROW(INDIRECT("1:" &amp; DAY(EOMONTH(TODAY(), 0))))), "dddd")=C195)),
   "")</f>
        <v/>
      </c>
      <c r="Q195" s="12"/>
      <c r="R195" s="11" t="str">
        <f t="shared" si="15"/>
        <v/>
      </c>
      <c r="U195" s="13"/>
    </row>
    <row r="196" spans="2:21" ht="18" x14ac:dyDescent="0.35">
      <c r="B196" t="str">
        <f>IF(A196="", "", IF(Q196="", "", IF(Q196=TIME(0,30,0), "Half Hour", IF(Q196=TIME(1,0,0), "Hour", TEXT(Q196*1440, "0") &amp; " Minutes"))))</f>
        <v/>
      </c>
      <c r="D196" s="9" t="str">
        <f t="shared" si="16"/>
        <v/>
      </c>
      <c r="E196" t="str">
        <f t="shared" si="17"/>
        <v/>
      </c>
      <c r="F196" s="9" t="str">
        <f t="shared" si="18"/>
        <v/>
      </c>
      <c r="G196" s="10"/>
      <c r="H196" s="10" t="str">
        <f>IF(A196="","",G196+Q196)</f>
        <v/>
      </c>
      <c r="M196" t="str">
        <f>IF(A196="","",IF(Q196="", "", ROUND(20 * EXP(LN(50/20) * ((HOUR(Q196)*60 + MINUTE(Q196) - 30) / 30)), 2) * R196 * (1 - S196)))</f>
        <v/>
      </c>
      <c r="P196" t="str" cm="1">
        <f t="array" aca="1" ref="P196" ca="1">IF(AND(A196&lt;&gt;"", C196&lt;&gt;""),
   SUMPRODUCT(--(TEXT(DATE(YEAR(TODAY()), MONTH(TODAY()), ROW(INDIRECT("1:" &amp; DAY(EOMONTH(TODAY(), 0))))), "dddd")=C196)),
   "")</f>
        <v/>
      </c>
      <c r="Q196" s="12"/>
      <c r="R196" s="11" t="str">
        <f t="shared" si="15"/>
        <v/>
      </c>
      <c r="U196" s="13"/>
    </row>
    <row r="197" spans="2:21" ht="18" x14ac:dyDescent="0.35">
      <c r="B197" t="str">
        <f>IF(A197="", "", IF(Q197="", "", IF(Q197=TIME(0,30,0), "Half Hour", IF(Q197=TIME(1,0,0), "Hour", TEXT(Q197*1440, "0") &amp; " Minutes"))))</f>
        <v/>
      </c>
      <c r="D197" s="9" t="str">
        <f t="shared" si="16"/>
        <v/>
      </c>
      <c r="E197" t="str">
        <f t="shared" si="17"/>
        <v/>
      </c>
      <c r="F197" s="9" t="str">
        <f t="shared" si="18"/>
        <v/>
      </c>
      <c r="G197" s="10"/>
      <c r="H197" s="10" t="str">
        <f>IF(A197="","",G197+Q197)</f>
        <v/>
      </c>
      <c r="M197" t="str">
        <f>IF(A197="","",IF(Q197="", "", ROUND(20 * EXP(LN(50/20) * ((HOUR(Q197)*60 + MINUTE(Q197) - 30) / 30)), 2) * R197 * (1 - S197)))</f>
        <v/>
      </c>
      <c r="P197" t="str" cm="1">
        <f t="array" aca="1" ref="P197" ca="1">IF(AND(A197&lt;&gt;"", C197&lt;&gt;""),
   SUMPRODUCT(--(TEXT(DATE(YEAR(TODAY()), MONTH(TODAY()), ROW(INDIRECT("1:" &amp; DAY(EOMONTH(TODAY(), 0))))), "dddd")=C197)),
   "")</f>
        <v/>
      </c>
      <c r="Q197" s="12"/>
      <c r="R197" s="11" t="str">
        <f t="shared" si="15"/>
        <v/>
      </c>
      <c r="U197" s="13"/>
    </row>
    <row r="198" spans="2:21" ht="18" x14ac:dyDescent="0.35">
      <c r="B198" t="str">
        <f>IF(A198="", "", IF(Q198="", "", IF(Q198=TIME(0,30,0), "Half Hour", IF(Q198=TIME(1,0,0), "Hour", TEXT(Q198*1440, "0") &amp; " Minutes"))))</f>
        <v/>
      </c>
      <c r="D198" s="9" t="str">
        <f t="shared" si="16"/>
        <v/>
      </c>
      <c r="E198" t="str">
        <f t="shared" si="17"/>
        <v/>
      </c>
      <c r="F198" s="9" t="str">
        <f t="shared" si="18"/>
        <v/>
      </c>
      <c r="G198" s="10"/>
      <c r="H198" s="10" t="str">
        <f>IF(A198="","",G198+Q198)</f>
        <v/>
      </c>
      <c r="M198" t="str">
        <f>IF(A198="","",IF(Q198="", "", ROUND(20 * EXP(LN(50/20) * ((HOUR(Q198)*60 + MINUTE(Q198) - 30) / 30)), 2) * R198 * (1 - S198)))</f>
        <v/>
      </c>
      <c r="P198" t="str" cm="1">
        <f t="array" aca="1" ref="P198" ca="1">IF(AND(A198&lt;&gt;"", C198&lt;&gt;""),
   SUMPRODUCT(--(TEXT(DATE(YEAR(TODAY()), MONTH(TODAY()), ROW(INDIRECT("1:" &amp; DAY(EOMONTH(TODAY(), 0))))), "dddd")=C198)),
   "")</f>
        <v/>
      </c>
      <c r="Q198" s="12"/>
      <c r="R198" s="11" t="str">
        <f t="shared" si="15"/>
        <v/>
      </c>
      <c r="U198" s="13"/>
    </row>
    <row r="199" spans="2:21" ht="18" x14ac:dyDescent="0.35">
      <c r="B199" t="str">
        <f>IF(A199="", "", IF(Q199="", "", IF(Q199=TIME(0,30,0), "Half Hour", IF(Q199=TIME(1,0,0), "Hour", TEXT(Q199*1440, "0") &amp; " Minutes"))))</f>
        <v/>
      </c>
      <c r="D199" s="9" t="str">
        <f t="shared" si="16"/>
        <v/>
      </c>
      <c r="E199" t="str">
        <f t="shared" si="17"/>
        <v/>
      </c>
      <c r="F199" s="9" t="str">
        <f t="shared" si="18"/>
        <v/>
      </c>
      <c r="G199" s="10"/>
      <c r="H199" s="10" t="str">
        <f>IF(A199="","",G199+Q199)</f>
        <v/>
      </c>
      <c r="M199" t="str">
        <f>IF(A199="","",IF(Q199="", "", ROUND(20 * EXP(LN(50/20) * ((HOUR(Q199)*60 + MINUTE(Q199) - 30) / 30)), 2) * R199 * (1 - S199)))</f>
        <v/>
      </c>
      <c r="P199" t="str" cm="1">
        <f t="array" aca="1" ref="P199" ca="1">IF(AND(A199&lt;&gt;"", C199&lt;&gt;""),
   SUMPRODUCT(--(TEXT(DATE(YEAR(TODAY()), MONTH(TODAY()), ROW(INDIRECT("1:" &amp; DAY(EOMONTH(TODAY(), 0))))), "dddd")=C199)),
   "")</f>
        <v/>
      </c>
      <c r="Q199" s="12"/>
      <c r="R199" s="11" t="str">
        <f t="shared" si="15"/>
        <v/>
      </c>
      <c r="U199" s="13"/>
    </row>
    <row r="200" spans="2:21" ht="18" x14ac:dyDescent="0.35">
      <c r="B200" t="str">
        <f>IF(A200="", "", IF(Q200="", "", IF(Q200=TIME(0,30,0), "Half Hour", IF(Q200=TIME(1,0,0), "Hour", TEXT(Q200*1440, "0") &amp; " Minutes"))))</f>
        <v/>
      </c>
      <c r="D200" s="9" t="str">
        <f t="shared" si="16"/>
        <v/>
      </c>
      <c r="E200" t="str">
        <f t="shared" si="17"/>
        <v/>
      </c>
      <c r="F200" s="9" t="str">
        <f t="shared" si="18"/>
        <v/>
      </c>
      <c r="G200" s="10"/>
      <c r="H200" s="10" t="str">
        <f>IF(A200="","",G200+Q200)</f>
        <v/>
      </c>
      <c r="M200" t="str">
        <f>IF(A200="","",IF(Q200="", "", ROUND(20 * EXP(LN(50/20) * ((HOUR(Q200)*60 + MINUTE(Q200) - 30) / 30)), 2) * R200 * (1 - S200)))</f>
        <v/>
      </c>
      <c r="P200" t="str" cm="1">
        <f t="array" aca="1" ref="P200" ca="1">IF(AND(A200&lt;&gt;"", C200&lt;&gt;""),
   SUMPRODUCT(--(TEXT(DATE(YEAR(TODAY()), MONTH(TODAY()), ROW(INDIRECT("1:" &amp; DAY(EOMONTH(TODAY(), 0))))), "dddd")=C200)),
   "")</f>
        <v/>
      </c>
      <c r="Q200" s="12"/>
      <c r="R200" s="11" t="str">
        <f t="shared" si="15"/>
        <v/>
      </c>
      <c r="U200" s="13"/>
    </row>
    <row r="201" spans="2:21" ht="18" x14ac:dyDescent="0.35">
      <c r="B201" t="str">
        <f>IF(A201="", "", IF(Q201="", "", IF(Q201=TIME(0,30,0), "Half Hour", IF(Q201=TIME(1,0,0), "Hour", TEXT(Q201*1440, "0") &amp; " Minutes"))))</f>
        <v/>
      </c>
      <c r="D201" s="9" t="str">
        <f t="shared" si="16"/>
        <v/>
      </c>
      <c r="E201" t="str">
        <f t="shared" si="17"/>
        <v/>
      </c>
      <c r="F201" s="9" t="str">
        <f t="shared" si="18"/>
        <v/>
      </c>
      <c r="G201" s="10"/>
      <c r="H201" s="10" t="str">
        <f>IF(A201="","",G201+Q201)</f>
        <v/>
      </c>
      <c r="M201" t="str">
        <f>IF(A201="","",IF(Q201="", "", ROUND(20 * EXP(LN(50/20) * ((HOUR(Q201)*60 + MINUTE(Q201) - 30) / 30)), 2) * R201 * (1 - S201)))</f>
        <v/>
      </c>
      <c r="P201" t="str" cm="1">
        <f t="array" aca="1" ref="P201" ca="1">IF(AND(A201&lt;&gt;"", C201&lt;&gt;""),
   SUMPRODUCT(--(TEXT(DATE(YEAR(TODAY()), MONTH(TODAY()), ROW(INDIRECT("1:" &amp; DAY(EOMONTH(TODAY(), 0))))), "dddd")=C201)),
   "")</f>
        <v/>
      </c>
      <c r="Q201" s="12"/>
      <c r="R201" s="11" t="str">
        <f t="shared" si="15"/>
        <v/>
      </c>
      <c r="U201" s="13"/>
    </row>
    <row r="202" spans="2:21" ht="18" x14ac:dyDescent="0.35">
      <c r="B202" t="str">
        <f>IF(A202="", "", IF(Q202="", "", IF(Q202=TIME(0,30,0), "Half Hour", IF(Q202=TIME(1,0,0), "Hour", TEXT(Q202*1440, "0") &amp; " Minutes"))))</f>
        <v/>
      </c>
      <c r="D202" s="9" t="str">
        <f t="shared" si="16"/>
        <v/>
      </c>
      <c r="E202" t="str">
        <f t="shared" si="17"/>
        <v/>
      </c>
      <c r="F202" s="9" t="str">
        <f t="shared" si="18"/>
        <v/>
      </c>
      <c r="G202" s="10"/>
      <c r="H202" s="10" t="str">
        <f>IF(A202="","",G202+Q202)</f>
        <v/>
      </c>
      <c r="M202" t="str">
        <f>IF(A202="","",IF(Q202="", "", ROUND(20 * EXP(LN(50/20) * ((HOUR(Q202)*60 + MINUTE(Q202) - 30) / 30)), 2) * R202 * (1 - S202)))</f>
        <v/>
      </c>
      <c r="P202" t="str" cm="1">
        <f t="array" aca="1" ref="P202" ca="1">IF(AND(A202&lt;&gt;"", C202&lt;&gt;""),
   SUMPRODUCT(--(TEXT(DATE(YEAR(TODAY()), MONTH(TODAY()), ROW(INDIRECT("1:" &amp; DAY(EOMONTH(TODAY(), 0))))), "dddd")=C202)),
   "")</f>
        <v/>
      </c>
      <c r="Q202" s="12"/>
      <c r="R202" s="11" t="str">
        <f t="shared" si="15"/>
        <v/>
      </c>
      <c r="U202" s="13"/>
    </row>
    <row r="203" spans="2:21" ht="18" x14ac:dyDescent="0.35">
      <c r="B203" t="str">
        <f>IF(A203="", "", IF(Q203="", "", IF(Q203=TIME(0,30,0), "Half Hour", IF(Q203=TIME(1,0,0), "Hour", TEXT(Q203*1440, "0") &amp; " Minutes"))))</f>
        <v/>
      </c>
      <c r="D203" s="9" t="str">
        <f t="shared" si="16"/>
        <v/>
      </c>
      <c r="E203" t="str">
        <f t="shared" si="17"/>
        <v/>
      </c>
      <c r="F203" s="9" t="str">
        <f t="shared" si="18"/>
        <v/>
      </c>
      <c r="G203" s="10"/>
      <c r="H203" s="10" t="str">
        <f>IF(A203="","",G203+Q203)</f>
        <v/>
      </c>
      <c r="M203" t="str">
        <f>IF(A203="","",IF(Q203="", "", ROUND(20 * EXP(LN(50/20) * ((HOUR(Q203)*60 + MINUTE(Q203) - 30) / 30)), 2) * R203 * (1 - S203)))</f>
        <v/>
      </c>
      <c r="P203" t="str" cm="1">
        <f t="array" aca="1" ref="P203" ca="1">IF(AND(A203&lt;&gt;"", C203&lt;&gt;""),
   SUMPRODUCT(--(TEXT(DATE(YEAR(TODAY()), MONTH(TODAY()), ROW(INDIRECT("1:" &amp; DAY(EOMONTH(TODAY(), 0))))), "dddd")=C203)),
   "")</f>
        <v/>
      </c>
      <c r="Q203" s="12"/>
      <c r="R203" s="11" t="str">
        <f t="shared" si="15"/>
        <v/>
      </c>
      <c r="U203" s="13"/>
    </row>
    <row r="204" spans="2:21" ht="18" x14ac:dyDescent="0.35">
      <c r="B204" t="str">
        <f>IF(A204="", "", IF(Q204="", "", IF(Q204=TIME(0,30,0), "Half Hour", IF(Q204=TIME(1,0,0), "Hour", TEXT(Q204*1440, "0") &amp; " Minutes"))))</f>
        <v/>
      </c>
      <c r="D204" s="9" t="str">
        <f t="shared" si="16"/>
        <v/>
      </c>
      <c r="E204" t="str">
        <f t="shared" si="17"/>
        <v/>
      </c>
      <c r="F204" s="9" t="str">
        <f t="shared" si="18"/>
        <v/>
      </c>
      <c r="G204" s="10"/>
      <c r="H204" s="10" t="str">
        <f>IF(A204="","",G204+Q204)</f>
        <v/>
      </c>
      <c r="M204" t="str">
        <f>IF(A204="","",IF(Q204="", "", ROUND(20 * EXP(LN(50/20) * ((HOUR(Q204)*60 + MINUTE(Q204) - 30) / 30)), 2) * R204 * (1 - S204)))</f>
        <v/>
      </c>
      <c r="P204" t="str" cm="1">
        <f t="array" aca="1" ref="P204" ca="1">IF(AND(A204&lt;&gt;"", C204&lt;&gt;""),
   SUMPRODUCT(--(TEXT(DATE(YEAR(TODAY()), MONTH(TODAY()), ROW(INDIRECT("1:" &amp; DAY(EOMONTH(TODAY(), 0))))), "dddd")=C204)),
   "")</f>
        <v/>
      </c>
      <c r="Q204" s="12"/>
      <c r="R204" s="11" t="str">
        <f t="shared" si="15"/>
        <v/>
      </c>
      <c r="U204" s="13"/>
    </row>
    <row r="205" spans="2:21" ht="18" x14ac:dyDescent="0.35">
      <c r="B205" t="str">
        <f>IF(A205="", "", IF(Q205="", "", IF(Q205=TIME(0,30,0), "Half Hour", IF(Q205=TIME(1,0,0), "Hour", TEXT(Q205*1440, "0") &amp; " Minutes"))))</f>
        <v/>
      </c>
      <c r="D205" s="9" t="str">
        <f t="shared" si="16"/>
        <v/>
      </c>
      <c r="E205" t="str">
        <f t="shared" si="17"/>
        <v/>
      </c>
      <c r="F205" s="9" t="str">
        <f t="shared" si="18"/>
        <v/>
      </c>
      <c r="G205" s="10"/>
      <c r="H205" s="10" t="str">
        <f>IF(A205="","",G205+Q205)</f>
        <v/>
      </c>
      <c r="M205" t="str">
        <f>IF(A205="","",IF(Q205="", "", ROUND(20 * EXP(LN(50/20) * ((HOUR(Q205)*60 + MINUTE(Q205) - 30) / 30)), 2) * R205 * (1 - S205)))</f>
        <v/>
      </c>
      <c r="P205" t="str" cm="1">
        <f t="array" aca="1" ref="P205" ca="1">IF(AND(A205&lt;&gt;"", C205&lt;&gt;""),
   SUMPRODUCT(--(TEXT(DATE(YEAR(TODAY()), MONTH(TODAY()), ROW(INDIRECT("1:" &amp; DAY(EOMONTH(TODAY(), 0))))), "dddd")=C205)),
   "")</f>
        <v/>
      </c>
      <c r="Q205" s="12"/>
      <c r="R205" s="11" t="str">
        <f t="shared" si="15"/>
        <v/>
      </c>
      <c r="U205" s="13"/>
    </row>
    <row r="206" spans="2:21" ht="18" x14ac:dyDescent="0.35">
      <c r="B206" t="str">
        <f>IF(A206="", "", IF(Q206="", "", IF(Q206=TIME(0,30,0), "Half Hour", IF(Q206=TIME(1,0,0), "Hour", TEXT(Q206*1440, "0") &amp; " Minutes"))))</f>
        <v/>
      </c>
      <c r="D206" s="9" t="str">
        <f t="shared" si="16"/>
        <v/>
      </c>
      <c r="E206" t="str">
        <f t="shared" si="17"/>
        <v/>
      </c>
      <c r="F206" s="9" t="str">
        <f t="shared" si="18"/>
        <v/>
      </c>
      <c r="G206" s="10"/>
      <c r="H206" s="10" t="str">
        <f>IF(A206="","",G206+Q206)</f>
        <v/>
      </c>
      <c r="M206" t="str">
        <f>IF(A206="","",IF(Q206="", "", ROUND(20 * EXP(LN(50/20) * ((HOUR(Q206)*60 + MINUTE(Q206) - 30) / 30)), 2) * R206 * (1 - S206)))</f>
        <v/>
      </c>
      <c r="P206" t="str" cm="1">
        <f t="array" aca="1" ref="P206" ca="1">IF(AND(A206&lt;&gt;"", C206&lt;&gt;""),
   SUMPRODUCT(--(TEXT(DATE(YEAR(TODAY()), MONTH(TODAY()), ROW(INDIRECT("1:" &amp; DAY(EOMONTH(TODAY(), 0))))), "dddd")=C206)),
   "")</f>
        <v/>
      </c>
      <c r="Q206" s="12"/>
      <c r="R206" s="11" t="str">
        <f t="shared" si="15"/>
        <v/>
      </c>
      <c r="U206" s="13"/>
    </row>
    <row r="207" spans="2:21" ht="18" x14ac:dyDescent="0.35">
      <c r="B207" t="str">
        <f>IF(A207="", "", IF(Q207="", "", IF(Q207=TIME(0,30,0), "Half Hour", IF(Q207=TIME(1,0,0), "Hour", TEXT(Q207*1440, "0") &amp; " Minutes"))))</f>
        <v/>
      </c>
      <c r="D207" s="9" t="str">
        <f t="shared" si="16"/>
        <v/>
      </c>
      <c r="E207" t="str">
        <f t="shared" si="17"/>
        <v/>
      </c>
      <c r="F207" s="9" t="str">
        <f t="shared" si="18"/>
        <v/>
      </c>
      <c r="G207" s="10"/>
      <c r="H207" s="10" t="str">
        <f>IF(A207="","",G207+Q207)</f>
        <v/>
      </c>
      <c r="M207" t="str">
        <f>IF(A207="","",IF(Q207="", "", ROUND(20 * EXP(LN(50/20) * ((HOUR(Q207)*60 + MINUTE(Q207) - 30) / 30)), 2) * R207 * (1 - S207)))</f>
        <v/>
      </c>
      <c r="P207" t="str" cm="1">
        <f t="array" aca="1" ref="P207" ca="1">IF(AND(A207&lt;&gt;"", C207&lt;&gt;""),
   SUMPRODUCT(--(TEXT(DATE(YEAR(TODAY()), MONTH(TODAY()), ROW(INDIRECT("1:" &amp; DAY(EOMONTH(TODAY(), 0))))), "dddd")=C207)),
   "")</f>
        <v/>
      </c>
      <c r="Q207" s="12"/>
      <c r="R207" s="11" t="str">
        <f t="shared" si="15"/>
        <v/>
      </c>
      <c r="U207" s="13"/>
    </row>
    <row r="208" spans="2:21" ht="18" x14ac:dyDescent="0.35">
      <c r="B208" t="str">
        <f>IF(A208="", "", IF(Q208="", "", IF(Q208=TIME(0,30,0), "Half Hour", IF(Q208=TIME(1,0,0), "Hour", TEXT(Q208*1440, "0") &amp; " Minutes"))))</f>
        <v/>
      </c>
      <c r="D208" s="9" t="str">
        <f t="shared" si="16"/>
        <v/>
      </c>
      <c r="E208" t="str">
        <f t="shared" si="17"/>
        <v/>
      </c>
      <c r="F208" s="9" t="str">
        <f t="shared" si="18"/>
        <v/>
      </c>
      <c r="G208" s="10"/>
      <c r="H208" s="10" t="str">
        <f>IF(A208="","",G208+Q208)</f>
        <v/>
      </c>
      <c r="M208" t="str">
        <f>IF(A208="","",IF(Q208="", "", ROUND(20 * EXP(LN(50/20) * ((HOUR(Q208)*60 + MINUTE(Q208) - 30) / 30)), 2) * R208 * (1 - S208)))</f>
        <v/>
      </c>
      <c r="P208" t="str" cm="1">
        <f t="array" aca="1" ref="P208" ca="1">IF(AND(A208&lt;&gt;"", C208&lt;&gt;""),
   SUMPRODUCT(--(TEXT(DATE(YEAR(TODAY()), MONTH(TODAY()), ROW(INDIRECT("1:" &amp; DAY(EOMONTH(TODAY(), 0))))), "dddd")=C208)),
   "")</f>
        <v/>
      </c>
      <c r="Q208" s="12"/>
      <c r="R208" s="11" t="str">
        <f t="shared" si="15"/>
        <v/>
      </c>
      <c r="U208" s="13"/>
    </row>
    <row r="209" spans="2:21" ht="18" x14ac:dyDescent="0.35">
      <c r="B209" t="str">
        <f>IF(A209="", "", IF(Q209="", "", IF(Q209=TIME(0,30,0), "Half Hour", IF(Q209=TIME(1,0,0), "Hour", TEXT(Q209*1440, "0") &amp; " Minutes"))))</f>
        <v/>
      </c>
      <c r="D209" s="9" t="str">
        <f t="shared" si="16"/>
        <v/>
      </c>
      <c r="E209" t="str">
        <f t="shared" si="17"/>
        <v/>
      </c>
      <c r="F209" s="9" t="str">
        <f t="shared" si="18"/>
        <v/>
      </c>
      <c r="G209" s="10"/>
      <c r="H209" s="10" t="str">
        <f>IF(A209="","",G209+Q209)</f>
        <v/>
      </c>
      <c r="M209" t="str">
        <f>IF(A209="","",IF(Q209="", "", ROUND(20 * EXP(LN(50/20) * ((HOUR(Q209)*60 + MINUTE(Q209) - 30) / 30)), 2) * R209 * (1 - S209)))</f>
        <v/>
      </c>
      <c r="P209" t="str" cm="1">
        <f t="array" aca="1" ref="P209" ca="1">IF(AND(A209&lt;&gt;"", C209&lt;&gt;""),
   SUMPRODUCT(--(TEXT(DATE(YEAR(TODAY()), MONTH(TODAY()), ROW(INDIRECT("1:" &amp; DAY(EOMONTH(TODAY(), 0))))), "dddd")=C209)),
   "")</f>
        <v/>
      </c>
      <c r="Q209" s="12"/>
      <c r="R209" s="11" t="str">
        <f t="shared" si="15"/>
        <v/>
      </c>
      <c r="U209" s="13"/>
    </row>
    <row r="210" spans="2:21" ht="18" x14ac:dyDescent="0.35">
      <c r="B210" t="str">
        <f>IF(A210="", "", IF(Q210="", "", IF(Q210=TIME(0,30,0), "Half Hour", IF(Q210=TIME(1,0,0), "Hour", TEXT(Q210*1440, "0") &amp; " Minutes"))))</f>
        <v/>
      </c>
      <c r="D210" s="9" t="str">
        <f t="shared" si="16"/>
        <v/>
      </c>
      <c r="E210" t="str">
        <f t="shared" si="17"/>
        <v/>
      </c>
      <c r="F210" s="9" t="str">
        <f t="shared" si="18"/>
        <v/>
      </c>
      <c r="G210" s="10"/>
      <c r="H210" s="10" t="str">
        <f>IF(A210="","",G210+Q210)</f>
        <v/>
      </c>
      <c r="M210" t="str">
        <f>IF(A210="","",IF(Q210="", "", ROUND(20 * EXP(LN(50/20) * ((HOUR(Q210)*60 + MINUTE(Q210) - 30) / 30)), 2) * R210 * (1 - S210)))</f>
        <v/>
      </c>
      <c r="P210" t="str" cm="1">
        <f t="array" aca="1" ref="P210" ca="1">IF(AND(A210&lt;&gt;"", C210&lt;&gt;""),
   SUMPRODUCT(--(TEXT(DATE(YEAR(TODAY()), MONTH(TODAY()), ROW(INDIRECT("1:" &amp; DAY(EOMONTH(TODAY(), 0))))), "dddd")=C210)),
   "")</f>
        <v/>
      </c>
      <c r="Q210" s="12"/>
      <c r="R210" s="11" t="str">
        <f t="shared" si="15"/>
        <v/>
      </c>
      <c r="U210" s="13"/>
    </row>
    <row r="211" spans="2:21" ht="18" x14ac:dyDescent="0.35">
      <c r="B211" t="str">
        <f>IF(A211="", "", IF(Q211="", "", IF(Q211=TIME(0,30,0), "Half Hour", IF(Q211=TIME(1,0,0), "Hour", TEXT(Q211*1440, "0") &amp; " Minutes"))))</f>
        <v/>
      </c>
      <c r="D211" s="9" t="str">
        <f t="shared" si="16"/>
        <v/>
      </c>
      <c r="E211" t="str">
        <f t="shared" si="17"/>
        <v/>
      </c>
      <c r="F211" s="9" t="str">
        <f t="shared" si="18"/>
        <v/>
      </c>
      <c r="G211" s="10"/>
      <c r="H211" s="10" t="str">
        <f>IF(A211="","",G211+Q211)</f>
        <v/>
      </c>
      <c r="M211" t="str">
        <f>IF(A211="","",IF(Q211="", "", ROUND(20 * EXP(LN(50/20) * ((HOUR(Q211)*60 + MINUTE(Q211) - 30) / 30)), 2) * R211 * (1 - S211)))</f>
        <v/>
      </c>
      <c r="P211" t="str" cm="1">
        <f t="array" aca="1" ref="P211" ca="1">IF(AND(A211&lt;&gt;"", C211&lt;&gt;""),
   SUMPRODUCT(--(TEXT(DATE(YEAR(TODAY()), MONTH(TODAY()), ROW(INDIRECT("1:" &amp; DAY(EOMONTH(TODAY(), 0))))), "dddd")=C211)),
   "")</f>
        <v/>
      </c>
      <c r="Q211" s="12"/>
      <c r="R211" s="11" t="str">
        <f t="shared" si="15"/>
        <v/>
      </c>
      <c r="U211" s="13"/>
    </row>
    <row r="212" spans="2:21" ht="18" x14ac:dyDescent="0.35">
      <c r="B212" t="str">
        <f>IF(A212="", "", IF(Q212="", "", IF(Q212=TIME(0,30,0), "Half Hour", IF(Q212=TIME(1,0,0), "Hour", TEXT(Q212*1440, "0") &amp; " Minutes"))))</f>
        <v/>
      </c>
      <c r="D212" s="9" t="str">
        <f t="shared" si="16"/>
        <v/>
      </c>
      <c r="E212" t="str">
        <f t="shared" si="17"/>
        <v/>
      </c>
      <c r="F212" s="9" t="str">
        <f t="shared" si="18"/>
        <v/>
      </c>
      <c r="G212" s="10"/>
      <c r="H212" s="10" t="str">
        <f>IF(A212="","",G212+Q212)</f>
        <v/>
      </c>
      <c r="M212" t="str">
        <f>IF(A212="","",IF(Q212="", "", ROUND(20 * EXP(LN(50/20) * ((HOUR(Q212)*60 + MINUTE(Q212) - 30) / 30)), 2) * R212 * (1 - S212)))</f>
        <v/>
      </c>
      <c r="P212" t="str" cm="1">
        <f t="array" aca="1" ref="P212" ca="1">IF(AND(A212&lt;&gt;"", C212&lt;&gt;""),
   SUMPRODUCT(--(TEXT(DATE(YEAR(TODAY()), MONTH(TODAY()), ROW(INDIRECT("1:" &amp; DAY(EOMONTH(TODAY(), 0))))), "dddd")=C212)),
   "")</f>
        <v/>
      </c>
      <c r="Q212" s="12"/>
      <c r="R212" s="11" t="str">
        <f t="shared" si="15"/>
        <v/>
      </c>
      <c r="U212" s="13"/>
    </row>
    <row r="213" spans="2:21" ht="18" x14ac:dyDescent="0.35">
      <c r="B213" t="str">
        <f>IF(A213="", "", IF(Q213="", "", IF(Q213=TIME(0,30,0), "Half Hour", IF(Q213=TIME(1,0,0), "Hour", TEXT(Q213*1440, "0") &amp; " Minutes"))))</f>
        <v/>
      </c>
      <c r="D213" s="9" t="str">
        <f t="shared" si="16"/>
        <v/>
      </c>
      <c r="E213" t="str">
        <f t="shared" si="17"/>
        <v/>
      </c>
      <c r="F213" s="9" t="str">
        <f t="shared" si="18"/>
        <v/>
      </c>
      <c r="G213" s="10"/>
      <c r="H213" s="10" t="str">
        <f>IF(A213="","",G213+Q213)</f>
        <v/>
      </c>
      <c r="M213" t="str">
        <f>IF(A213="","",IF(Q213="", "", ROUND(20 * EXP(LN(50/20) * ((HOUR(Q213)*60 + MINUTE(Q213) - 30) / 30)), 2) * R213 * (1 - S213)))</f>
        <v/>
      </c>
      <c r="P213" t="str" cm="1">
        <f t="array" aca="1" ref="P213" ca="1">IF(AND(A213&lt;&gt;"", C213&lt;&gt;""),
   SUMPRODUCT(--(TEXT(DATE(YEAR(TODAY()), MONTH(TODAY()), ROW(INDIRECT("1:" &amp; DAY(EOMONTH(TODAY(), 0))))), "dddd")=C213)),
   "")</f>
        <v/>
      </c>
      <c r="Q213" s="12"/>
      <c r="R213" s="11" t="str">
        <f t="shared" si="15"/>
        <v/>
      </c>
      <c r="U213" s="13"/>
    </row>
    <row r="214" spans="2:21" ht="18" x14ac:dyDescent="0.35">
      <c r="B214" t="str">
        <f>IF(A214="", "", IF(Q214="", "", IF(Q214=TIME(0,30,0), "Half Hour", IF(Q214=TIME(1,0,0), "Hour", TEXT(Q214*1440, "0") &amp; " Minutes"))))</f>
        <v/>
      </c>
      <c r="D214" s="9" t="str">
        <f t="shared" si="16"/>
        <v/>
      </c>
      <c r="E214" t="str">
        <f t="shared" si="17"/>
        <v/>
      </c>
      <c r="F214" s="9" t="str">
        <f t="shared" si="18"/>
        <v/>
      </c>
      <c r="G214" s="10"/>
      <c r="H214" s="10" t="str">
        <f>IF(A214="","",G214+Q214)</f>
        <v/>
      </c>
      <c r="M214" t="str">
        <f>IF(A214="","",IF(Q214="", "", ROUND(20 * EXP(LN(50/20) * ((HOUR(Q214)*60 + MINUTE(Q214) - 30) / 30)), 2) * R214 * (1 - S214)))</f>
        <v/>
      </c>
      <c r="P214" t="str" cm="1">
        <f t="array" aca="1" ref="P214" ca="1">IF(AND(A214&lt;&gt;"", C214&lt;&gt;""),
   SUMPRODUCT(--(TEXT(DATE(YEAR(TODAY()), MONTH(TODAY()), ROW(INDIRECT("1:" &amp; DAY(EOMONTH(TODAY(), 0))))), "dddd")=C214)),
   "")</f>
        <v/>
      </c>
      <c r="Q214" s="12"/>
      <c r="R214" s="11" t="str">
        <f t="shared" si="15"/>
        <v/>
      </c>
      <c r="U214" s="13"/>
    </row>
    <row r="215" spans="2:21" ht="18" x14ac:dyDescent="0.35">
      <c r="B215" t="str">
        <f>IF(A215="", "", IF(Q215="", "", IF(Q215=TIME(0,30,0), "Half Hour", IF(Q215=TIME(1,0,0), "Hour", TEXT(Q215*1440, "0") &amp; " Minutes"))))</f>
        <v/>
      </c>
      <c r="D215" s="9" t="str">
        <f t="shared" si="16"/>
        <v/>
      </c>
      <c r="E215" t="str">
        <f t="shared" si="17"/>
        <v/>
      </c>
      <c r="F215" s="9" t="str">
        <f t="shared" si="18"/>
        <v/>
      </c>
      <c r="G215" s="10"/>
      <c r="H215" s="10" t="str">
        <f>IF(A215="","",G215+Q215)</f>
        <v/>
      </c>
      <c r="M215" t="str">
        <f>IF(A215="","",IF(Q215="", "", ROUND(20 * EXP(LN(50/20) * ((HOUR(Q215)*60 + MINUTE(Q215) - 30) / 30)), 2) * R215 * (1 - S215)))</f>
        <v/>
      </c>
      <c r="P215" t="str" cm="1">
        <f t="array" aca="1" ref="P215" ca="1">IF(AND(A215&lt;&gt;"", C215&lt;&gt;""),
   SUMPRODUCT(--(TEXT(DATE(YEAR(TODAY()), MONTH(TODAY()), ROW(INDIRECT("1:" &amp; DAY(EOMONTH(TODAY(), 0))))), "dddd")=C215)),
   "")</f>
        <v/>
      </c>
      <c r="Q215" s="12"/>
      <c r="R215" s="11" t="str">
        <f t="shared" si="15"/>
        <v/>
      </c>
      <c r="U215" s="13"/>
    </row>
    <row r="216" spans="2:21" ht="18" x14ac:dyDescent="0.35">
      <c r="B216" t="str">
        <f>IF(A216="", "", IF(Q216="", "", IF(Q216=TIME(0,30,0), "Half Hour", IF(Q216=TIME(1,0,0), "Hour", TEXT(Q216*1440, "0") &amp; " Minutes"))))</f>
        <v/>
      </c>
      <c r="D216" s="9" t="str">
        <f t="shared" si="16"/>
        <v/>
      </c>
      <c r="E216" t="str">
        <f t="shared" si="17"/>
        <v/>
      </c>
      <c r="F216" s="9" t="str">
        <f t="shared" si="18"/>
        <v/>
      </c>
      <c r="G216" s="10"/>
      <c r="H216" s="10" t="str">
        <f>IF(A216="","",G216+Q216)</f>
        <v/>
      </c>
      <c r="M216" t="str">
        <f>IF(A216="","",IF(Q216="", "", ROUND(20 * EXP(LN(50/20) * ((HOUR(Q216)*60 + MINUTE(Q216) - 30) / 30)), 2) * R216 * (1 - S216)))</f>
        <v/>
      </c>
      <c r="P216" t="str" cm="1">
        <f t="array" aca="1" ref="P216" ca="1">IF(AND(A216&lt;&gt;"", C216&lt;&gt;""),
   SUMPRODUCT(--(TEXT(DATE(YEAR(TODAY()), MONTH(TODAY()), ROW(INDIRECT("1:" &amp; DAY(EOMONTH(TODAY(), 0))))), "dddd")=C216)),
   "")</f>
        <v/>
      </c>
      <c r="Q216" s="12"/>
      <c r="R216" s="11" t="str">
        <f t="shared" si="15"/>
        <v/>
      </c>
      <c r="U216" s="13"/>
    </row>
    <row r="217" spans="2:21" ht="18" x14ac:dyDescent="0.35">
      <c r="B217" t="str">
        <f>IF(A217="", "", IF(Q217="", "", IF(Q217=TIME(0,30,0), "Half Hour", IF(Q217=TIME(1,0,0), "Hour", TEXT(Q217*1440, "0") &amp; " Minutes"))))</f>
        <v/>
      </c>
      <c r="D217" s="9" t="str">
        <f t="shared" si="16"/>
        <v/>
      </c>
      <c r="E217" t="str">
        <f t="shared" si="17"/>
        <v/>
      </c>
      <c r="F217" s="9" t="str">
        <f t="shared" si="18"/>
        <v/>
      </c>
      <c r="G217" s="10"/>
      <c r="H217" s="10" t="str">
        <f>IF(A217="","",G217+Q217)</f>
        <v/>
      </c>
      <c r="M217" t="str">
        <f>IF(A217="","",IF(Q217="", "", ROUND(20 * EXP(LN(50/20) * ((HOUR(Q217)*60 + MINUTE(Q217) - 30) / 30)), 2) * R217 * (1 - S217)))</f>
        <v/>
      </c>
      <c r="P217" t="str" cm="1">
        <f t="array" aca="1" ref="P217" ca="1">IF(AND(A217&lt;&gt;"", C217&lt;&gt;""),
   SUMPRODUCT(--(TEXT(DATE(YEAR(TODAY()), MONTH(TODAY()), ROW(INDIRECT("1:" &amp; DAY(EOMONTH(TODAY(), 0))))), "dddd")=C217)),
   "")</f>
        <v/>
      </c>
      <c r="Q217" s="12"/>
      <c r="R217" s="11" t="str">
        <f t="shared" si="15"/>
        <v/>
      </c>
      <c r="U217" s="13"/>
    </row>
    <row r="218" spans="2:21" ht="18" x14ac:dyDescent="0.35">
      <c r="B218" t="str">
        <f>IF(A218="", "", IF(Q218="", "", IF(Q218=TIME(0,30,0), "Half Hour", IF(Q218=TIME(1,0,0), "Hour", TEXT(Q218*1440, "0") &amp; " Minutes"))))</f>
        <v/>
      </c>
      <c r="D218" s="9" t="str">
        <f t="shared" si="16"/>
        <v/>
      </c>
      <c r="E218" t="str">
        <f t="shared" si="17"/>
        <v/>
      </c>
      <c r="F218" s="9" t="str">
        <f t="shared" si="18"/>
        <v/>
      </c>
      <c r="G218" s="10"/>
      <c r="H218" s="10" t="str">
        <f>IF(A218="","",G218+Q218)</f>
        <v/>
      </c>
      <c r="M218" t="str">
        <f>IF(A218="","",IF(Q218="", "", ROUND(20 * EXP(LN(50/20) * ((HOUR(Q218)*60 + MINUTE(Q218) - 30) / 30)), 2) * R218 * (1 - S218)))</f>
        <v/>
      </c>
      <c r="P218" t="str" cm="1">
        <f t="array" aca="1" ref="P218" ca="1">IF(AND(A218&lt;&gt;"", C218&lt;&gt;""),
   SUMPRODUCT(--(TEXT(DATE(YEAR(TODAY()), MONTH(TODAY()), ROW(INDIRECT("1:" &amp; DAY(EOMONTH(TODAY(), 0))))), "dddd")=C218)),
   "")</f>
        <v/>
      </c>
      <c r="Q218" s="12"/>
      <c r="R218" s="11" t="str">
        <f t="shared" si="15"/>
        <v/>
      </c>
      <c r="U218" s="13"/>
    </row>
    <row r="219" spans="2:21" ht="18" x14ac:dyDescent="0.35">
      <c r="B219" t="str">
        <f>IF(A219="", "", IF(Q219="", "", IF(Q219=TIME(0,30,0), "Half Hour", IF(Q219=TIME(1,0,0), "Hour", TEXT(Q219*1440, "0") &amp; " Minutes"))))</f>
        <v/>
      </c>
      <c r="D219" s="9" t="str">
        <f t="shared" si="16"/>
        <v/>
      </c>
      <c r="E219" t="str">
        <f t="shared" si="17"/>
        <v/>
      </c>
      <c r="F219" s="9" t="str">
        <f t="shared" si="18"/>
        <v/>
      </c>
      <c r="G219" s="10"/>
      <c r="H219" s="10" t="str">
        <f>IF(A219="","",G219+Q219)</f>
        <v/>
      </c>
      <c r="M219" t="str">
        <f>IF(A219="","",IF(Q219="", "", ROUND(20 * EXP(LN(50/20) * ((HOUR(Q219)*60 + MINUTE(Q219) - 30) / 30)), 2) * R219 * (1 - S219)))</f>
        <v/>
      </c>
      <c r="P219" t="str" cm="1">
        <f t="array" aca="1" ref="P219" ca="1">IF(AND(A219&lt;&gt;"", C219&lt;&gt;""),
   SUMPRODUCT(--(TEXT(DATE(YEAR(TODAY()), MONTH(TODAY()), ROW(INDIRECT("1:" &amp; DAY(EOMONTH(TODAY(), 0))))), "dddd")=C219)),
   "")</f>
        <v/>
      </c>
      <c r="Q219" s="12"/>
      <c r="R219" s="11" t="str">
        <f t="shared" si="15"/>
        <v/>
      </c>
      <c r="U219" s="13"/>
    </row>
    <row r="220" spans="2:21" ht="18" x14ac:dyDescent="0.35">
      <c r="B220" t="str">
        <f>IF(A220="", "", IF(Q220="", "", IF(Q220=TIME(0,30,0), "Half Hour", IF(Q220=TIME(1,0,0), "Hour", TEXT(Q220*1440, "0") &amp; " Minutes"))))</f>
        <v/>
      </c>
      <c r="D220" s="9" t="str">
        <f t="shared" si="16"/>
        <v/>
      </c>
      <c r="E220" t="str">
        <f t="shared" si="17"/>
        <v/>
      </c>
      <c r="F220" s="9" t="str">
        <f t="shared" si="18"/>
        <v/>
      </c>
      <c r="G220" s="10"/>
      <c r="H220" s="10" t="str">
        <f>IF(A220="","",G220+Q220)</f>
        <v/>
      </c>
      <c r="M220" t="str">
        <f>IF(A220="","",IF(Q220="", "", ROUND(20 * EXP(LN(50/20) * ((HOUR(Q220)*60 + MINUTE(Q220) - 30) / 30)), 2) * R220 * (1 - S220)))</f>
        <v/>
      </c>
      <c r="P220" t="str" cm="1">
        <f t="array" aca="1" ref="P220" ca="1">IF(AND(A220&lt;&gt;"", C220&lt;&gt;""),
   SUMPRODUCT(--(TEXT(DATE(YEAR(TODAY()), MONTH(TODAY()), ROW(INDIRECT("1:" &amp; DAY(EOMONTH(TODAY(), 0))))), "dddd")=C220)),
   "")</f>
        <v/>
      </c>
      <c r="Q220" s="12"/>
      <c r="R220" s="11" t="str">
        <f t="shared" si="15"/>
        <v/>
      </c>
      <c r="U220" s="13"/>
    </row>
    <row r="221" spans="2:21" ht="18" x14ac:dyDescent="0.35">
      <c r="B221" t="str">
        <f>IF(A221="", "", IF(Q221="", "", IF(Q221=TIME(0,30,0), "Half Hour", IF(Q221=TIME(1,0,0), "Hour", TEXT(Q221*1440, "0") &amp; " Minutes"))))</f>
        <v/>
      </c>
      <c r="D221" s="9" t="str">
        <f t="shared" si="16"/>
        <v/>
      </c>
      <c r="E221" t="str">
        <f t="shared" si="17"/>
        <v/>
      </c>
      <c r="F221" s="9" t="str">
        <f t="shared" si="18"/>
        <v/>
      </c>
      <c r="G221" s="10"/>
      <c r="H221" s="10" t="str">
        <f>IF(A221="","",G221+Q221)</f>
        <v/>
      </c>
      <c r="M221" t="str">
        <f>IF(A221="","",IF(Q221="", "", ROUND(20 * EXP(LN(50/20) * ((HOUR(Q221)*60 + MINUTE(Q221) - 30) / 30)), 2) * R221 * (1 - S221)))</f>
        <v/>
      </c>
      <c r="P221" t="str" cm="1">
        <f t="array" aca="1" ref="P221" ca="1">IF(AND(A221&lt;&gt;"", C221&lt;&gt;""),
   SUMPRODUCT(--(TEXT(DATE(YEAR(TODAY()), MONTH(TODAY()), ROW(INDIRECT("1:" &amp; DAY(EOMONTH(TODAY(), 0))))), "dddd")=C221)),
   "")</f>
        <v/>
      </c>
      <c r="Q221" s="12"/>
      <c r="R221" s="11" t="str">
        <f t="shared" si="15"/>
        <v/>
      </c>
      <c r="U221" s="13"/>
    </row>
    <row r="222" spans="2:21" ht="18" x14ac:dyDescent="0.35">
      <c r="B222" t="str">
        <f>IF(A222="", "", IF(Q222="", "", IF(Q222=TIME(0,30,0), "Half Hour", IF(Q222=TIME(1,0,0), "Hour", TEXT(Q222*1440, "0") &amp; " Minutes"))))</f>
        <v/>
      </c>
      <c r="D222" s="9" t="str">
        <f t="shared" si="16"/>
        <v/>
      </c>
      <c r="E222" t="str">
        <f t="shared" si="17"/>
        <v/>
      </c>
      <c r="F222" s="9" t="str">
        <f t="shared" si="18"/>
        <v/>
      </c>
      <c r="G222" s="10"/>
      <c r="H222" s="10" t="str">
        <f>IF(A222="","",G222+Q222)</f>
        <v/>
      </c>
      <c r="M222" t="str">
        <f>IF(A222="","",IF(Q222="", "", ROUND(20 * EXP(LN(50/20) * ((HOUR(Q222)*60 + MINUTE(Q222) - 30) / 30)), 2) * R222 * (1 - S222)))</f>
        <v/>
      </c>
      <c r="P222" t="str" cm="1">
        <f t="array" aca="1" ref="P222" ca="1">IF(AND(A222&lt;&gt;"", C222&lt;&gt;""),
   SUMPRODUCT(--(TEXT(DATE(YEAR(TODAY()), MONTH(TODAY()), ROW(INDIRECT("1:" &amp; DAY(EOMONTH(TODAY(), 0))))), "dddd")=C222)),
   "")</f>
        <v/>
      </c>
      <c r="Q222" s="12"/>
      <c r="R222" s="11" t="str">
        <f t="shared" si="15"/>
        <v/>
      </c>
      <c r="U222" s="13"/>
    </row>
    <row r="223" spans="2:21" ht="18" x14ac:dyDescent="0.35">
      <c r="B223" t="str">
        <f>IF(A223="", "", IF(Q223="", "", IF(Q223=TIME(0,30,0), "Half Hour", IF(Q223=TIME(1,0,0), "Hour", TEXT(Q223*1440, "0") &amp; " Minutes"))))</f>
        <v/>
      </c>
      <c r="D223" s="9" t="str">
        <f t="shared" si="16"/>
        <v/>
      </c>
      <c r="E223" t="str">
        <f t="shared" si="17"/>
        <v/>
      </c>
      <c r="F223" s="9" t="str">
        <f t="shared" si="18"/>
        <v/>
      </c>
      <c r="G223" s="10"/>
      <c r="H223" s="10" t="str">
        <f>IF(A223="","",G223+Q223)</f>
        <v/>
      </c>
      <c r="M223" t="str">
        <f>IF(A223="","",IF(Q223="", "", ROUND(20 * EXP(LN(50/20) * ((HOUR(Q223)*60 + MINUTE(Q223) - 30) / 30)), 2) * R223 * (1 - S223)))</f>
        <v/>
      </c>
      <c r="P223" t="str" cm="1">
        <f t="array" aca="1" ref="P223" ca="1">IF(AND(A223&lt;&gt;"", C223&lt;&gt;""),
   SUMPRODUCT(--(TEXT(DATE(YEAR(TODAY()), MONTH(TODAY()), ROW(INDIRECT("1:" &amp; DAY(EOMONTH(TODAY(), 0))))), "dddd")=C223)),
   "")</f>
        <v/>
      </c>
      <c r="Q223" s="12"/>
      <c r="R223" s="11" t="str">
        <f t="shared" si="15"/>
        <v/>
      </c>
      <c r="U223" s="13"/>
    </row>
    <row r="224" spans="2:21" ht="18" x14ac:dyDescent="0.35">
      <c r="B224" t="str">
        <f>IF(A224="", "", IF(Q224="", "", IF(Q224=TIME(0,30,0), "Half Hour", IF(Q224=TIME(1,0,0), "Hour", TEXT(Q224*1440, "0") &amp; " Minutes"))))</f>
        <v/>
      </c>
      <c r="D224" s="9" t="str">
        <f t="shared" si="16"/>
        <v/>
      </c>
      <c r="E224" t="str">
        <f t="shared" si="17"/>
        <v/>
      </c>
      <c r="F224" s="9" t="str">
        <f t="shared" si="18"/>
        <v/>
      </c>
      <c r="G224" s="10"/>
      <c r="H224" s="10" t="str">
        <f>IF(A224="","",G224+Q224)</f>
        <v/>
      </c>
      <c r="M224" t="str">
        <f>IF(A224="","",IF(Q224="", "", ROUND(20 * EXP(LN(50/20) * ((HOUR(Q224)*60 + MINUTE(Q224) - 30) / 30)), 2) * R224 * (1 - S224)))</f>
        <v/>
      </c>
      <c r="P224" t="str" cm="1">
        <f t="array" aca="1" ref="P224" ca="1">IF(AND(A224&lt;&gt;"", C224&lt;&gt;""),
   SUMPRODUCT(--(TEXT(DATE(YEAR(TODAY()), MONTH(TODAY()), ROW(INDIRECT("1:" &amp; DAY(EOMONTH(TODAY(), 0))))), "dddd")=C224)),
   "")</f>
        <v/>
      </c>
      <c r="Q224" s="12"/>
      <c r="R224" s="11" t="str">
        <f t="shared" si="15"/>
        <v/>
      </c>
      <c r="U224" s="13"/>
    </row>
    <row r="225" spans="2:21" ht="18" x14ac:dyDescent="0.35">
      <c r="B225" t="str">
        <f>IF(A225="", "", IF(Q225="", "", IF(Q225=TIME(0,30,0), "Half Hour", IF(Q225=TIME(1,0,0), "Hour", TEXT(Q225*1440, "0") &amp; " Minutes"))))</f>
        <v/>
      </c>
      <c r="D225" s="9" t="str">
        <f t="shared" si="16"/>
        <v/>
      </c>
      <c r="E225" t="str">
        <f t="shared" si="17"/>
        <v/>
      </c>
      <c r="F225" s="9" t="str">
        <f t="shared" si="18"/>
        <v/>
      </c>
      <c r="G225" s="10"/>
      <c r="H225" s="10" t="str">
        <f>IF(A225="","",G225+Q225)</f>
        <v/>
      </c>
      <c r="M225" t="str">
        <f>IF(A225="","",IF(Q225="", "", ROUND(20 * EXP(LN(50/20) * ((HOUR(Q225)*60 + MINUTE(Q225) - 30) / 30)), 2) * R225 * (1 - S225)))</f>
        <v/>
      </c>
      <c r="P225" t="str" cm="1">
        <f t="array" aca="1" ref="P225" ca="1">IF(AND(A225&lt;&gt;"", C225&lt;&gt;""),
   SUMPRODUCT(--(TEXT(DATE(YEAR(TODAY()), MONTH(TODAY()), ROW(INDIRECT("1:" &amp; DAY(EOMONTH(TODAY(), 0))))), "dddd")=C225)),
   "")</f>
        <v/>
      </c>
      <c r="Q225" s="12"/>
      <c r="R225" s="11" t="str">
        <f t="shared" si="15"/>
        <v/>
      </c>
      <c r="U225" s="13"/>
    </row>
    <row r="226" spans="2:21" ht="18" x14ac:dyDescent="0.35">
      <c r="B226" t="str">
        <f>IF(A226="", "", IF(Q226="", "", IF(Q226=TIME(0,30,0), "Half Hour", IF(Q226=TIME(1,0,0), "Hour", TEXT(Q226*1440, "0") &amp; " Minutes"))))</f>
        <v/>
      </c>
      <c r="D226" s="9" t="str">
        <f t="shared" si="16"/>
        <v/>
      </c>
      <c r="E226" t="str">
        <f t="shared" si="17"/>
        <v/>
      </c>
      <c r="F226" s="9" t="str">
        <f t="shared" si="18"/>
        <v/>
      </c>
      <c r="G226" s="10"/>
      <c r="H226" s="10" t="str">
        <f>IF(A226="","",G226+Q226)</f>
        <v/>
      </c>
      <c r="M226" t="str">
        <f>IF(A226="","",IF(Q226="", "", ROUND(20 * EXP(LN(50/20) * ((HOUR(Q226)*60 + MINUTE(Q226) - 30) / 30)), 2) * R226 * (1 - S226)))</f>
        <v/>
      </c>
      <c r="P226" t="str" cm="1">
        <f t="array" aca="1" ref="P226" ca="1">IF(AND(A226&lt;&gt;"", C226&lt;&gt;""),
   SUMPRODUCT(--(TEXT(DATE(YEAR(TODAY()), MONTH(TODAY()), ROW(INDIRECT("1:" &amp; DAY(EOMONTH(TODAY(), 0))))), "dddd")=C226)),
   "")</f>
        <v/>
      </c>
      <c r="Q226" s="12"/>
      <c r="R226" s="11" t="str">
        <f t="shared" si="15"/>
        <v/>
      </c>
      <c r="U226" s="13"/>
    </row>
    <row r="227" spans="2:21" ht="18" x14ac:dyDescent="0.35">
      <c r="B227" t="str">
        <f>IF(A227="", "", IF(Q227="", "", IF(Q227=TIME(0,30,0), "Half Hour", IF(Q227=TIME(1,0,0), "Hour", TEXT(Q227*1440, "0") &amp; " Minutes"))))</f>
        <v/>
      </c>
      <c r="D227" s="9" t="str">
        <f t="shared" si="16"/>
        <v/>
      </c>
      <c r="E227" t="str">
        <f t="shared" si="17"/>
        <v/>
      </c>
      <c r="F227" s="9" t="str">
        <f t="shared" si="18"/>
        <v/>
      </c>
      <c r="G227" s="10"/>
      <c r="H227" s="10" t="str">
        <f>IF(A227="","",G227+Q227)</f>
        <v/>
      </c>
      <c r="M227" t="str">
        <f>IF(A227="","",IF(Q227="", "", ROUND(20 * EXP(LN(50/20) * ((HOUR(Q227)*60 + MINUTE(Q227) - 30) / 30)), 2) * R227 * (1 - S227)))</f>
        <v/>
      </c>
      <c r="P227" t="str" cm="1">
        <f t="array" aca="1" ref="P227" ca="1">IF(AND(A227&lt;&gt;"", C227&lt;&gt;""),
   SUMPRODUCT(--(TEXT(DATE(YEAR(TODAY()), MONTH(TODAY()), ROW(INDIRECT("1:" &amp; DAY(EOMONTH(TODAY(), 0))))), "dddd")=C227)),
   "")</f>
        <v/>
      </c>
      <c r="Q227" s="12"/>
      <c r="R227" s="11" t="str">
        <f t="shared" si="15"/>
        <v/>
      </c>
      <c r="U227" s="13"/>
    </row>
    <row r="228" spans="2:21" ht="18" x14ac:dyDescent="0.35">
      <c r="B228" t="str">
        <f>IF(A228="", "", IF(Q228="", "", IF(Q228=TIME(0,30,0), "Half Hour", IF(Q228=TIME(1,0,0), "Hour", TEXT(Q228*1440, "0") &amp; " Minutes"))))</f>
        <v/>
      </c>
      <c r="D228" s="9" t="str">
        <f t="shared" si="16"/>
        <v/>
      </c>
      <c r="E228" t="str">
        <f t="shared" si="17"/>
        <v/>
      </c>
      <c r="F228" s="9" t="str">
        <f t="shared" si="18"/>
        <v/>
      </c>
      <c r="G228" s="10"/>
      <c r="H228" s="10" t="str">
        <f>IF(A228="","",G228+Q228)</f>
        <v/>
      </c>
      <c r="M228" t="str">
        <f>IF(A228="","",IF(Q228="", "", ROUND(20 * EXP(LN(50/20) * ((HOUR(Q228)*60 + MINUTE(Q228) - 30) / 30)), 2) * R228 * (1 - S228)))</f>
        <v/>
      </c>
      <c r="P228" t="str" cm="1">
        <f t="array" aca="1" ref="P228" ca="1">IF(AND(A228&lt;&gt;"", C228&lt;&gt;""),
   SUMPRODUCT(--(TEXT(DATE(YEAR(TODAY()), MONTH(TODAY()), ROW(INDIRECT("1:" &amp; DAY(EOMONTH(TODAY(), 0))))), "dddd")=C228)),
   "")</f>
        <v/>
      </c>
      <c r="Q228" s="12"/>
      <c r="R228" s="11" t="str">
        <f t="shared" si="15"/>
        <v/>
      </c>
      <c r="U228" s="13"/>
    </row>
    <row r="229" spans="2:21" ht="18" x14ac:dyDescent="0.35">
      <c r="B229" t="str">
        <f>IF(A229="", "", IF(Q229="", "", IF(Q229=TIME(0,30,0), "Half Hour", IF(Q229=TIME(1,0,0), "Hour", TEXT(Q229*1440, "0") &amp; " Minutes"))))</f>
        <v/>
      </c>
      <c r="D229" s="9" t="str">
        <f t="shared" si="16"/>
        <v/>
      </c>
      <c r="E229" t="str">
        <f t="shared" si="17"/>
        <v/>
      </c>
      <c r="F229" s="9" t="str">
        <f t="shared" si="18"/>
        <v/>
      </c>
      <c r="G229" s="10"/>
      <c r="H229" s="10" t="str">
        <f>IF(A229="","",G229+Q229)</f>
        <v/>
      </c>
      <c r="M229" t="str">
        <f>IF(A229="","",IF(Q229="", "", ROUND(20 * EXP(LN(50/20) * ((HOUR(Q229)*60 + MINUTE(Q229) - 30) / 30)), 2) * R229 * (1 - S229)))</f>
        <v/>
      </c>
      <c r="P229" t="str" cm="1">
        <f t="array" aca="1" ref="P229" ca="1">IF(AND(A229&lt;&gt;"", C229&lt;&gt;""),
   SUMPRODUCT(--(TEXT(DATE(YEAR(TODAY()), MONTH(TODAY()), ROW(INDIRECT("1:" &amp; DAY(EOMONTH(TODAY(), 0))))), "dddd")=C229)),
   "")</f>
        <v/>
      </c>
      <c r="Q229" s="12"/>
      <c r="R229" s="11" t="str">
        <f t="shared" si="15"/>
        <v/>
      </c>
      <c r="U229" s="13"/>
    </row>
    <row r="230" spans="2:21" ht="18" x14ac:dyDescent="0.35">
      <c r="B230" t="str">
        <f>IF(A230="", "", IF(Q230="", "", IF(Q230=TIME(0,30,0), "Half Hour", IF(Q230=TIME(1,0,0), "Hour", TEXT(Q230*1440, "0") &amp; " Minutes"))))</f>
        <v/>
      </c>
      <c r="D230" s="9" t="str">
        <f t="shared" si="16"/>
        <v/>
      </c>
      <c r="E230" t="str">
        <f t="shared" si="17"/>
        <v/>
      </c>
      <c r="F230" s="9" t="str">
        <f t="shared" si="18"/>
        <v/>
      </c>
      <c r="G230" s="10"/>
      <c r="H230" s="10" t="str">
        <f>IF(A230="","",G230+Q230)</f>
        <v/>
      </c>
      <c r="M230" t="str">
        <f>IF(A230="","",IF(Q230="", "", ROUND(20 * EXP(LN(50/20) * ((HOUR(Q230)*60 + MINUTE(Q230) - 30) / 30)), 2) * R230 * (1 - S230)))</f>
        <v/>
      </c>
      <c r="P230" t="str" cm="1">
        <f t="array" aca="1" ref="P230" ca="1">IF(AND(A230&lt;&gt;"", C230&lt;&gt;""),
   SUMPRODUCT(--(TEXT(DATE(YEAR(TODAY()), MONTH(TODAY()), ROW(INDIRECT("1:" &amp; DAY(EOMONTH(TODAY(), 0))))), "dddd")=C230)),
   "")</f>
        <v/>
      </c>
      <c r="Q230" s="12"/>
      <c r="R230" s="11" t="str">
        <f t="shared" si="15"/>
        <v/>
      </c>
      <c r="U230" s="13"/>
    </row>
    <row r="231" spans="2:21" ht="18" x14ac:dyDescent="0.35">
      <c r="B231" t="str">
        <f>IF(A231="", "", IF(Q231="", "", IF(Q231=TIME(0,30,0), "Half Hour", IF(Q231=TIME(1,0,0), "Hour", TEXT(Q231*1440, "0") &amp; " Minutes"))))</f>
        <v/>
      </c>
      <c r="D231" s="9" t="str">
        <f t="shared" si="16"/>
        <v/>
      </c>
      <c r="E231" t="str">
        <f t="shared" si="17"/>
        <v/>
      </c>
      <c r="F231" s="9" t="str">
        <f t="shared" si="18"/>
        <v/>
      </c>
      <c r="G231" s="10"/>
      <c r="H231" s="10" t="str">
        <f>IF(A231="","",G231+Q231)</f>
        <v/>
      </c>
      <c r="M231" t="str">
        <f>IF(A231="","",IF(Q231="", "", ROUND(20 * EXP(LN(50/20) * ((HOUR(Q231)*60 + MINUTE(Q231) - 30) / 30)), 2) * R231 * (1 - S231)))</f>
        <v/>
      </c>
      <c r="P231" t="str" cm="1">
        <f t="array" aca="1" ref="P231" ca="1">IF(AND(A231&lt;&gt;"", C231&lt;&gt;""),
   SUMPRODUCT(--(TEXT(DATE(YEAR(TODAY()), MONTH(TODAY()), ROW(INDIRECT("1:" &amp; DAY(EOMONTH(TODAY(), 0))))), "dddd")=C231)),
   "")</f>
        <v/>
      </c>
      <c r="Q231" s="12"/>
      <c r="R231" s="11" t="str">
        <f t="shared" si="15"/>
        <v/>
      </c>
      <c r="U231" s="13"/>
    </row>
    <row r="232" spans="2:21" ht="18" x14ac:dyDescent="0.35">
      <c r="B232" t="str">
        <f>IF(A232="", "", IF(Q232="", "", IF(Q232=TIME(0,30,0), "Half Hour", IF(Q232=TIME(1,0,0), "Hour", TEXT(Q232*1440, "0") &amp; " Minutes"))))</f>
        <v/>
      </c>
      <c r="D232" s="9" t="str">
        <f t="shared" si="16"/>
        <v/>
      </c>
      <c r="E232" t="str">
        <f t="shared" si="17"/>
        <v/>
      </c>
      <c r="F232" s="9" t="str">
        <f t="shared" si="18"/>
        <v/>
      </c>
      <c r="G232" s="10"/>
      <c r="H232" s="10" t="str">
        <f>IF(A232="","",G232+Q232)</f>
        <v/>
      </c>
      <c r="M232" t="str">
        <f>IF(A232="","",IF(Q232="", "", ROUND(20 * EXP(LN(50/20) * ((HOUR(Q232)*60 + MINUTE(Q232) - 30) / 30)), 2) * R232 * (1 - S232)))</f>
        <v/>
      </c>
      <c r="P232" t="str" cm="1">
        <f t="array" aca="1" ref="P232" ca="1">IF(AND(A232&lt;&gt;"", C232&lt;&gt;""),
   SUMPRODUCT(--(TEXT(DATE(YEAR(TODAY()), MONTH(TODAY()), ROW(INDIRECT("1:" &amp; DAY(EOMONTH(TODAY(), 0))))), "dddd")=C232)),
   "")</f>
        <v/>
      </c>
      <c r="Q232" s="12"/>
      <c r="R232" s="11" t="str">
        <f t="shared" si="15"/>
        <v/>
      </c>
      <c r="U232" s="13"/>
    </row>
    <row r="233" spans="2:21" ht="18" x14ac:dyDescent="0.35">
      <c r="B233" t="str">
        <f>IF(A233="", "", IF(Q233="", "", IF(Q233=TIME(0,30,0), "Half Hour", IF(Q233=TIME(1,0,0), "Hour", TEXT(Q233*1440, "0") &amp; " Minutes"))))</f>
        <v/>
      </c>
      <c r="D233" s="9" t="str">
        <f t="shared" si="16"/>
        <v/>
      </c>
      <c r="E233" t="str">
        <f t="shared" si="17"/>
        <v/>
      </c>
      <c r="F233" s="9" t="str">
        <f t="shared" si="18"/>
        <v/>
      </c>
      <c r="G233" s="10"/>
      <c r="H233" s="10" t="str">
        <f>IF(A233="","",G233+Q233)</f>
        <v/>
      </c>
      <c r="M233" t="str">
        <f>IF(A233="","",IF(Q233="", "", ROUND(20 * EXP(LN(50/20) * ((HOUR(Q233)*60 + MINUTE(Q233) - 30) / 30)), 2) * R233 * (1 - S233)))</f>
        <v/>
      </c>
      <c r="P233" t="str" cm="1">
        <f t="array" aca="1" ref="P233" ca="1">IF(AND(A233&lt;&gt;"", C233&lt;&gt;""),
   SUMPRODUCT(--(TEXT(DATE(YEAR(TODAY()), MONTH(TODAY()), ROW(INDIRECT("1:" &amp; DAY(EOMONTH(TODAY(), 0))))), "dddd")=C233)),
   "")</f>
        <v/>
      </c>
      <c r="Q233" s="12"/>
      <c r="R233" s="11" t="str">
        <f t="shared" si="15"/>
        <v/>
      </c>
      <c r="U233" s="13"/>
    </row>
    <row r="234" spans="2:21" ht="18" x14ac:dyDescent="0.35">
      <c r="B234" t="str">
        <f>IF(A234="", "", IF(Q234="", "", IF(Q234=TIME(0,30,0), "Half Hour", IF(Q234=TIME(1,0,0), "Hour", TEXT(Q234*1440, "0") &amp; " Minutes"))))</f>
        <v/>
      </c>
      <c r="D234" s="9" t="str">
        <f t="shared" si="16"/>
        <v/>
      </c>
      <c r="E234" t="str">
        <f t="shared" si="17"/>
        <v/>
      </c>
      <c r="F234" s="9" t="str">
        <f t="shared" si="18"/>
        <v/>
      </c>
      <c r="G234" s="10"/>
      <c r="H234" s="10" t="str">
        <f>IF(A234="","",G234+Q234)</f>
        <v/>
      </c>
      <c r="M234" t="str">
        <f>IF(A234="","",IF(Q234="", "", ROUND(20 * EXP(LN(50/20) * ((HOUR(Q234)*60 + MINUTE(Q234) - 30) / 30)), 2) * R234 * (1 - S234)))</f>
        <v/>
      </c>
      <c r="P234" t="str" cm="1">
        <f t="array" aca="1" ref="P234" ca="1">IF(AND(A234&lt;&gt;"", C234&lt;&gt;""),
   SUMPRODUCT(--(TEXT(DATE(YEAR(TODAY()), MONTH(TODAY()), ROW(INDIRECT("1:" &amp; DAY(EOMONTH(TODAY(), 0))))), "dddd")=C234)),
   "")</f>
        <v/>
      </c>
      <c r="Q234" s="12"/>
      <c r="R234" s="11" t="str">
        <f t="shared" si="15"/>
        <v/>
      </c>
      <c r="U234" s="13"/>
    </row>
    <row r="235" spans="2:21" ht="18" x14ac:dyDescent="0.35">
      <c r="B235" t="str">
        <f>IF(A235="", "", IF(Q235="", "", IF(Q235=TIME(0,30,0), "Half Hour", IF(Q235=TIME(1,0,0), "Hour", TEXT(Q235*1440, "0") &amp; " Minutes"))))</f>
        <v/>
      </c>
      <c r="D235" s="9" t="str">
        <f t="shared" si="16"/>
        <v/>
      </c>
      <c r="E235" t="str">
        <f t="shared" si="17"/>
        <v/>
      </c>
      <c r="F235" s="9" t="str">
        <f t="shared" si="18"/>
        <v/>
      </c>
      <c r="G235" s="10"/>
      <c r="H235" s="10" t="str">
        <f>IF(A235="","",G235+Q235)</f>
        <v/>
      </c>
      <c r="M235" t="str">
        <f>IF(A235="","",IF(Q235="", "", ROUND(20 * EXP(LN(50/20) * ((HOUR(Q235)*60 + MINUTE(Q235) - 30) / 30)), 2) * R235 * (1 - S235)))</f>
        <v/>
      </c>
      <c r="P235" t="str" cm="1">
        <f t="array" aca="1" ref="P235" ca="1">IF(AND(A235&lt;&gt;"", C235&lt;&gt;""),
   SUMPRODUCT(--(TEXT(DATE(YEAR(TODAY()), MONTH(TODAY()), ROW(INDIRECT("1:" &amp; DAY(EOMONTH(TODAY(), 0))))), "dddd")=C235)),
   "")</f>
        <v/>
      </c>
      <c r="Q235" s="12"/>
      <c r="R235" s="11" t="str">
        <f t="shared" si="15"/>
        <v/>
      </c>
      <c r="U235" s="13"/>
    </row>
    <row r="236" spans="2:21" ht="18" x14ac:dyDescent="0.35">
      <c r="B236" t="str">
        <f>IF(A236="", "", IF(Q236="", "", IF(Q236=TIME(0,30,0), "Half Hour", IF(Q236=TIME(1,0,0), "Hour", TEXT(Q236*1440, "0") &amp; " Minutes"))))</f>
        <v/>
      </c>
      <c r="D236" s="9" t="str">
        <f t="shared" si="16"/>
        <v/>
      </c>
      <c r="E236" t="str">
        <f t="shared" si="17"/>
        <v/>
      </c>
      <c r="F236" s="9" t="str">
        <f t="shared" si="18"/>
        <v/>
      </c>
      <c r="G236" s="10"/>
      <c r="H236" s="10" t="str">
        <f>IF(A236="","",G236+Q236)</f>
        <v/>
      </c>
      <c r="M236" t="str">
        <f>IF(A236="","",IF(Q236="", "", ROUND(20 * EXP(LN(50/20) * ((HOUR(Q236)*60 + MINUTE(Q236) - 30) / 30)), 2) * R236 * (1 - S236)))</f>
        <v/>
      </c>
      <c r="P236" t="str" cm="1">
        <f t="array" aca="1" ref="P236" ca="1">IF(AND(A236&lt;&gt;"", C236&lt;&gt;""),
   SUMPRODUCT(--(TEXT(DATE(YEAR(TODAY()), MONTH(TODAY()), ROW(INDIRECT("1:" &amp; DAY(EOMONTH(TODAY(), 0))))), "dddd")=C236)),
   "")</f>
        <v/>
      </c>
      <c r="Q236" s="12"/>
      <c r="R236" s="11" t="str">
        <f t="shared" si="15"/>
        <v/>
      </c>
      <c r="U236" s="13"/>
    </row>
    <row r="237" spans="2:21" ht="18" x14ac:dyDescent="0.35">
      <c r="B237" t="str">
        <f>IF(A237="", "", IF(Q237="", "", IF(Q237=TIME(0,30,0), "Half Hour", IF(Q237=TIME(1,0,0), "Hour", TEXT(Q237*1440, "0") &amp; " Minutes"))))</f>
        <v/>
      </c>
      <c r="D237" s="9" t="str">
        <f t="shared" si="16"/>
        <v/>
      </c>
      <c r="E237" t="str">
        <f t="shared" si="17"/>
        <v/>
      </c>
      <c r="F237" s="9" t="str">
        <f t="shared" si="18"/>
        <v/>
      </c>
      <c r="G237" s="10"/>
      <c r="H237" s="10" t="str">
        <f>IF(A237="","",G237+Q237)</f>
        <v/>
      </c>
      <c r="M237" t="str">
        <f>IF(A237="","",IF(Q237="", "", ROUND(20 * EXP(LN(50/20) * ((HOUR(Q237)*60 + MINUTE(Q237) - 30) / 30)), 2) * R237 * (1 - S237)))</f>
        <v/>
      </c>
      <c r="P237" t="str" cm="1">
        <f t="array" aca="1" ref="P237" ca="1">IF(AND(A237&lt;&gt;"", C237&lt;&gt;""),
   SUMPRODUCT(--(TEXT(DATE(YEAR(TODAY()), MONTH(TODAY()), ROW(INDIRECT("1:" &amp; DAY(EOMONTH(TODAY(), 0))))), "dddd")=C237)),
   "")</f>
        <v/>
      </c>
      <c r="Q237" s="12"/>
      <c r="R237" s="11" t="str">
        <f t="shared" si="15"/>
        <v/>
      </c>
      <c r="U237" s="13"/>
    </row>
    <row r="238" spans="2:21" ht="18" x14ac:dyDescent="0.35">
      <c r="B238" t="str">
        <f>IF(A238="", "", IF(Q238="", "", IF(Q238=TIME(0,30,0), "Half Hour", IF(Q238=TIME(1,0,0), "Hour", TEXT(Q238*1440, "0") &amp; " Minutes"))))</f>
        <v/>
      </c>
      <c r="D238" s="9" t="str">
        <f t="shared" si="16"/>
        <v/>
      </c>
      <c r="E238" t="str">
        <f t="shared" si="17"/>
        <v/>
      </c>
      <c r="F238" s="9" t="str">
        <f t="shared" si="18"/>
        <v/>
      </c>
      <c r="G238" s="10"/>
      <c r="H238" s="10" t="str">
        <f>IF(A238="","",G238+Q238)</f>
        <v/>
      </c>
      <c r="M238" t="str">
        <f>IF(A238="","",IF(Q238="", "", ROUND(20 * EXP(LN(50/20) * ((HOUR(Q238)*60 + MINUTE(Q238) - 30) / 30)), 2) * R238 * (1 - S238)))</f>
        <v/>
      </c>
      <c r="P238" t="str" cm="1">
        <f t="array" aca="1" ref="P238" ca="1">IF(AND(A238&lt;&gt;"", C238&lt;&gt;""),
   SUMPRODUCT(--(TEXT(DATE(YEAR(TODAY()), MONTH(TODAY()), ROW(INDIRECT("1:" &amp; DAY(EOMONTH(TODAY(), 0))))), "dddd")=C238)),
   "")</f>
        <v/>
      </c>
      <c r="Q238" s="12"/>
      <c r="R238" s="11" t="str">
        <f t="shared" si="15"/>
        <v/>
      </c>
      <c r="U238" s="13"/>
    </row>
    <row r="239" spans="2:21" ht="18" x14ac:dyDescent="0.35">
      <c r="B239" t="str">
        <f>IF(A239="", "", IF(Q239="", "", IF(Q239=TIME(0,30,0), "Half Hour", IF(Q239=TIME(1,0,0), "Hour", TEXT(Q239*1440, "0") &amp; " Minutes"))))</f>
        <v/>
      </c>
      <c r="D239" s="9" t="str">
        <f t="shared" si="16"/>
        <v/>
      </c>
      <c r="E239" t="str">
        <f t="shared" si="17"/>
        <v/>
      </c>
      <c r="F239" s="9" t="str">
        <f t="shared" si="18"/>
        <v/>
      </c>
      <c r="G239" s="10"/>
      <c r="H239" s="10" t="str">
        <f>IF(A239="","",G239+Q239)</f>
        <v/>
      </c>
      <c r="M239" t="str">
        <f>IF(A239="","",IF(Q239="", "", ROUND(20 * EXP(LN(50/20) * ((HOUR(Q239)*60 + MINUTE(Q239) - 30) / 30)), 2) * R239 * (1 - S239)))</f>
        <v/>
      </c>
      <c r="P239" t="str" cm="1">
        <f t="array" aca="1" ref="P239" ca="1">IF(AND(A239&lt;&gt;"", C239&lt;&gt;""),
   SUMPRODUCT(--(TEXT(DATE(YEAR(TODAY()), MONTH(TODAY()), ROW(INDIRECT("1:" &amp; DAY(EOMONTH(TODAY(), 0))))), "dddd")=C239)),
   "")</f>
        <v/>
      </c>
      <c r="Q239" s="12"/>
      <c r="R239" s="11" t="str">
        <f t="shared" si="15"/>
        <v/>
      </c>
      <c r="U239" s="13"/>
    </row>
    <row r="240" spans="2:21" ht="18" x14ac:dyDescent="0.35">
      <c r="B240" t="str">
        <f>IF(A240="", "", IF(Q240="", "", IF(Q240=TIME(0,30,0), "Half Hour", IF(Q240=TIME(1,0,0), "Hour", TEXT(Q240*1440, "0") &amp; " Minutes"))))</f>
        <v/>
      </c>
      <c r="D240" s="9" t="str">
        <f t="shared" si="16"/>
        <v/>
      </c>
      <c r="E240" t="str">
        <f t="shared" si="17"/>
        <v/>
      </c>
      <c r="F240" s="9" t="str">
        <f t="shared" si="18"/>
        <v/>
      </c>
      <c r="G240" s="10"/>
      <c r="H240" s="10" t="str">
        <f>IF(A240="","",G240+Q240)</f>
        <v/>
      </c>
      <c r="M240" t="str">
        <f>IF(A240="","",IF(Q240="", "", ROUND(20 * EXP(LN(50/20) * ((HOUR(Q240)*60 + MINUTE(Q240) - 30) / 30)), 2) * R240 * (1 - S240)))</f>
        <v/>
      </c>
      <c r="P240" t="str" cm="1">
        <f t="array" aca="1" ref="P240" ca="1">IF(AND(A240&lt;&gt;"", C240&lt;&gt;""),
   SUMPRODUCT(--(TEXT(DATE(YEAR(TODAY()), MONTH(TODAY()), ROW(INDIRECT("1:" &amp; DAY(EOMONTH(TODAY(), 0))))), "dddd")=C240)),
   "")</f>
        <v/>
      </c>
      <c r="Q240" s="12"/>
      <c r="R240" s="11" t="str">
        <f t="shared" si="15"/>
        <v/>
      </c>
      <c r="U240" s="13"/>
    </row>
    <row r="241" spans="2:21" ht="18" x14ac:dyDescent="0.35">
      <c r="B241" t="str">
        <f>IF(A241="", "", IF(Q241="", "", IF(Q241=TIME(0,30,0), "Half Hour", IF(Q241=TIME(1,0,0), "Hour", TEXT(Q241*1440, "0") &amp; " Minutes"))))</f>
        <v/>
      </c>
      <c r="D241" s="9" t="str">
        <f t="shared" si="16"/>
        <v/>
      </c>
      <c r="E241" t="str">
        <f t="shared" si="17"/>
        <v/>
      </c>
      <c r="F241" s="9" t="str">
        <f t="shared" si="18"/>
        <v/>
      </c>
      <c r="G241" s="10"/>
      <c r="H241" s="10" t="str">
        <f>IF(A241="","",G241+Q241)</f>
        <v/>
      </c>
      <c r="M241" t="str">
        <f>IF(A241="","",IF(Q241="", "", ROUND(20 * EXP(LN(50/20) * ((HOUR(Q241)*60 + MINUTE(Q241) - 30) / 30)), 2) * R241 * (1 - S241)))</f>
        <v/>
      </c>
      <c r="P241" t="str" cm="1">
        <f t="array" aca="1" ref="P241" ca="1">IF(AND(A241&lt;&gt;"", C241&lt;&gt;""),
   SUMPRODUCT(--(TEXT(DATE(YEAR(TODAY()), MONTH(TODAY()), ROW(INDIRECT("1:" &amp; DAY(EOMONTH(TODAY(), 0))))), "dddd")=C241)),
   "")</f>
        <v/>
      </c>
      <c r="Q241" s="12"/>
      <c r="R241" s="11" t="str">
        <f t="shared" si="15"/>
        <v/>
      </c>
      <c r="U241" s="13"/>
    </row>
    <row r="242" spans="2:21" ht="18" x14ac:dyDescent="0.35">
      <c r="B242" t="str">
        <f>IF(A242="", "", IF(Q242="", "", IF(Q242=TIME(0,30,0), "Half Hour", IF(Q242=TIME(1,0,0), "Hour", TEXT(Q242*1440, "0") &amp; " Minutes"))))</f>
        <v/>
      </c>
      <c r="D242" s="9" t="str">
        <f t="shared" si="16"/>
        <v/>
      </c>
      <c r="E242" t="str">
        <f t="shared" si="17"/>
        <v/>
      </c>
      <c r="F242" s="9" t="str">
        <f t="shared" si="18"/>
        <v/>
      </c>
      <c r="G242" s="10"/>
      <c r="H242" s="10" t="str">
        <f>IF(A242="","",G242+Q242)</f>
        <v/>
      </c>
      <c r="M242" t="str">
        <f>IF(A242="","",IF(Q242="", "", ROUND(20 * EXP(LN(50/20) * ((HOUR(Q242)*60 + MINUTE(Q242) - 30) / 30)), 2) * R242 * (1 - S242)))</f>
        <v/>
      </c>
      <c r="P242" t="str" cm="1">
        <f t="array" aca="1" ref="P242" ca="1">IF(AND(A242&lt;&gt;"", C242&lt;&gt;""),
   SUMPRODUCT(--(TEXT(DATE(YEAR(TODAY()), MONTH(TODAY()), ROW(INDIRECT("1:" &amp; DAY(EOMONTH(TODAY(), 0))))), "dddd")=C242)),
   "")</f>
        <v/>
      </c>
      <c r="Q242" s="12"/>
      <c r="R242" s="11" t="str">
        <f t="shared" si="15"/>
        <v/>
      </c>
      <c r="U242" s="13"/>
    </row>
    <row r="243" spans="2:21" ht="18" x14ac:dyDescent="0.35">
      <c r="B243" t="str">
        <f>IF(A243="", "", IF(Q243="", "", IF(Q243=TIME(0,30,0), "Half Hour", IF(Q243=TIME(1,0,0), "Hour", TEXT(Q243*1440, "0") &amp; " Minutes"))))</f>
        <v/>
      </c>
      <c r="D243" s="9" t="str">
        <f t="shared" si="16"/>
        <v/>
      </c>
      <c r="E243" t="str">
        <f t="shared" si="17"/>
        <v/>
      </c>
      <c r="F243" s="9" t="str">
        <f t="shared" si="18"/>
        <v/>
      </c>
      <c r="G243" s="10"/>
      <c r="H243" s="10" t="str">
        <f>IF(A243="","",G243+Q243)</f>
        <v/>
      </c>
      <c r="M243" t="str">
        <f>IF(A243="","",IF(Q243="", "", ROUND(20 * EXP(LN(50/20) * ((HOUR(Q243)*60 + MINUTE(Q243) - 30) / 30)), 2) * R243 * (1 - S243)))</f>
        <v/>
      </c>
      <c r="P243" t="str" cm="1">
        <f t="array" aca="1" ref="P243" ca="1">IF(AND(A243&lt;&gt;"", C243&lt;&gt;""),
   SUMPRODUCT(--(TEXT(DATE(YEAR(TODAY()), MONTH(TODAY()), ROW(INDIRECT("1:" &amp; DAY(EOMONTH(TODAY(), 0))))), "dddd")=C243)),
   "")</f>
        <v/>
      </c>
      <c r="Q243" s="12"/>
      <c r="R243" s="11" t="str">
        <f t="shared" si="15"/>
        <v/>
      </c>
      <c r="U243" s="13"/>
    </row>
    <row r="244" spans="2:21" ht="18" x14ac:dyDescent="0.35">
      <c r="B244" t="str">
        <f>IF(A244="", "", IF(Q244="", "", IF(Q244=TIME(0,30,0), "Half Hour", IF(Q244=TIME(1,0,0), "Hour", TEXT(Q244*1440, "0") &amp; " Minutes"))))</f>
        <v/>
      </c>
      <c r="D244" s="9" t="str">
        <f t="shared" si="16"/>
        <v/>
      </c>
      <c r="E244" t="str">
        <f t="shared" si="17"/>
        <v/>
      </c>
      <c r="F244" s="9" t="str">
        <f t="shared" si="18"/>
        <v/>
      </c>
      <c r="G244" s="10"/>
      <c r="H244" s="10" t="str">
        <f>IF(A244="","",G244+Q244)</f>
        <v/>
      </c>
      <c r="M244" t="str">
        <f>IF(A244="","",IF(Q244="", "", ROUND(20 * EXP(LN(50/20) * ((HOUR(Q244)*60 + MINUTE(Q244) - 30) / 30)), 2) * R244 * (1 - S244)))</f>
        <v/>
      </c>
      <c r="P244" t="str" cm="1">
        <f t="array" aca="1" ref="P244" ca="1">IF(AND(A244&lt;&gt;"", C244&lt;&gt;""),
   SUMPRODUCT(--(TEXT(DATE(YEAR(TODAY()), MONTH(TODAY()), ROW(INDIRECT("1:" &amp; DAY(EOMONTH(TODAY(), 0))))), "dddd")=C244)),
   "")</f>
        <v/>
      </c>
      <c r="Q244" s="12"/>
      <c r="R244" s="11" t="str">
        <f t="shared" si="15"/>
        <v/>
      </c>
      <c r="U244" s="13"/>
    </row>
    <row r="245" spans="2:21" ht="18" x14ac:dyDescent="0.35">
      <c r="B245" t="str">
        <f>IF(A245="", "", IF(Q245="", "", IF(Q245=TIME(0,30,0), "Half Hour", IF(Q245=TIME(1,0,0), "Hour", TEXT(Q245*1440, "0") &amp; " Minutes"))))</f>
        <v/>
      </c>
      <c r="D245" s="9" t="str">
        <f t="shared" si="16"/>
        <v/>
      </c>
      <c r="E245" t="str">
        <f t="shared" si="17"/>
        <v/>
      </c>
      <c r="F245" s="9" t="str">
        <f t="shared" si="18"/>
        <v/>
      </c>
      <c r="G245" s="10"/>
      <c r="H245" s="10" t="str">
        <f>IF(A245="","",G245+Q245)</f>
        <v/>
      </c>
      <c r="M245" t="str">
        <f>IF(A245="","",IF(Q245="", "", ROUND(20 * EXP(LN(50/20) * ((HOUR(Q245)*60 + MINUTE(Q245) - 30) / 30)), 2) * R245 * (1 - S245)))</f>
        <v/>
      </c>
      <c r="P245" t="str" cm="1">
        <f t="array" aca="1" ref="P245" ca="1">IF(AND(A245&lt;&gt;"", C245&lt;&gt;""),
   SUMPRODUCT(--(TEXT(DATE(YEAR(TODAY()), MONTH(TODAY()), ROW(INDIRECT("1:" &amp; DAY(EOMONTH(TODAY(), 0))))), "dddd")=C245)),
   "")</f>
        <v/>
      </c>
      <c r="Q245" s="12"/>
      <c r="R245" s="11" t="str">
        <f t="shared" si="15"/>
        <v/>
      </c>
      <c r="U245" s="13"/>
    </row>
    <row r="246" spans="2:21" ht="18" x14ac:dyDescent="0.35">
      <c r="B246" t="str">
        <f>IF(A246="", "", IF(Q246="", "", IF(Q246=TIME(0,30,0), "Half Hour", IF(Q246=TIME(1,0,0), "Hour", TEXT(Q246*1440, "0") &amp; " Minutes"))))</f>
        <v/>
      </c>
      <c r="D246" s="9" t="str">
        <f t="shared" si="16"/>
        <v/>
      </c>
      <c r="E246" t="str">
        <f t="shared" si="17"/>
        <v/>
      </c>
      <c r="F246" s="9" t="str">
        <f t="shared" si="18"/>
        <v/>
      </c>
      <c r="G246" s="10"/>
      <c r="H246" s="10" t="str">
        <f>IF(A246="","",G246+Q246)</f>
        <v/>
      </c>
      <c r="M246" t="str">
        <f>IF(A246="","",IF(Q246="", "", ROUND(20 * EXP(LN(50/20) * ((HOUR(Q246)*60 + MINUTE(Q246) - 30) / 30)), 2) * R246 * (1 - S246)))</f>
        <v/>
      </c>
      <c r="P246" t="str" cm="1">
        <f t="array" aca="1" ref="P246" ca="1">IF(AND(A246&lt;&gt;"", C246&lt;&gt;""),
   SUMPRODUCT(--(TEXT(DATE(YEAR(TODAY()), MONTH(TODAY()), ROW(INDIRECT("1:" &amp; DAY(EOMONTH(TODAY(), 0))))), "dddd")=C246)),
   "")</f>
        <v/>
      </c>
      <c r="Q246" s="12"/>
      <c r="R246" s="11" t="str">
        <f t="shared" si="15"/>
        <v/>
      </c>
      <c r="U246" s="13"/>
    </row>
    <row r="247" spans="2:21" ht="18" x14ac:dyDescent="0.35">
      <c r="B247" t="str">
        <f>IF(A247="", "", IF(Q247="", "", IF(Q247=TIME(0,30,0), "Half Hour", IF(Q247=TIME(1,0,0), "Hour", TEXT(Q247*1440, "0") &amp; " Minutes"))))</f>
        <v/>
      </c>
      <c r="D247" s="9" t="str">
        <f t="shared" si="16"/>
        <v/>
      </c>
      <c r="E247" t="str">
        <f t="shared" si="17"/>
        <v/>
      </c>
      <c r="F247" s="9" t="str">
        <f t="shared" si="18"/>
        <v/>
      </c>
      <c r="G247" s="10"/>
      <c r="H247" s="10" t="str">
        <f>IF(A247="","",G247+Q247)</f>
        <v/>
      </c>
      <c r="M247" t="str">
        <f>IF(A247="","",IF(Q247="", "", ROUND(20 * EXP(LN(50/20) * ((HOUR(Q247)*60 + MINUTE(Q247) - 30) / 30)), 2) * R247 * (1 - S247)))</f>
        <v/>
      </c>
      <c r="P247" t="str" cm="1">
        <f t="array" aca="1" ref="P247" ca="1">IF(AND(A247&lt;&gt;"", C247&lt;&gt;""),
   SUMPRODUCT(--(TEXT(DATE(YEAR(TODAY()), MONTH(TODAY()), ROW(INDIRECT("1:" &amp; DAY(EOMONTH(TODAY(), 0))))), "dddd")=C247)),
   "")</f>
        <v/>
      </c>
      <c r="Q247" s="12"/>
      <c r="R247" s="11" t="str">
        <f t="shared" si="15"/>
        <v/>
      </c>
      <c r="U247" s="13"/>
    </row>
    <row r="248" spans="2:21" ht="18" x14ac:dyDescent="0.35">
      <c r="B248" t="str">
        <f>IF(A248="", "", IF(Q248="", "", IF(Q248=TIME(0,30,0), "Half Hour", IF(Q248=TIME(1,0,0), "Hour", TEXT(Q248*1440, "0") &amp; " Minutes"))))</f>
        <v/>
      </c>
      <c r="D248" s="9" t="str">
        <f t="shared" si="16"/>
        <v/>
      </c>
      <c r="E248" t="str">
        <f t="shared" si="17"/>
        <v/>
      </c>
      <c r="F248" s="9" t="str">
        <f t="shared" si="18"/>
        <v/>
      </c>
      <c r="G248" s="10"/>
      <c r="H248" s="10" t="str">
        <f>IF(A248="","",G248+Q248)</f>
        <v/>
      </c>
      <c r="M248" t="str">
        <f>IF(A248="","",IF(Q248="", "", ROUND(20 * EXP(LN(50/20) * ((HOUR(Q248)*60 + MINUTE(Q248) - 30) / 30)), 2) * R248 * (1 - S248)))</f>
        <v/>
      </c>
      <c r="P248" t="str" cm="1">
        <f t="array" aca="1" ref="P248" ca="1">IF(AND(A248&lt;&gt;"", C248&lt;&gt;""),
   SUMPRODUCT(--(TEXT(DATE(YEAR(TODAY()), MONTH(TODAY()), ROW(INDIRECT("1:" &amp; DAY(EOMONTH(TODAY(), 0))))), "dddd")=C248)),
   "")</f>
        <v/>
      </c>
      <c r="Q248" s="12"/>
      <c r="R248" s="11" t="str">
        <f t="shared" si="15"/>
        <v/>
      </c>
      <c r="U248" s="13"/>
    </row>
    <row r="249" spans="2:21" ht="18" x14ac:dyDescent="0.35">
      <c r="B249" t="str">
        <f>IF(A249="", "", IF(Q249="", "", IF(Q249=TIME(0,30,0), "Half Hour", IF(Q249=TIME(1,0,0), "Hour", TEXT(Q249*1440, "0") &amp; " Minutes"))))</f>
        <v/>
      </c>
      <c r="D249" s="9" t="str">
        <f t="shared" si="16"/>
        <v/>
      </c>
      <c r="E249" t="str">
        <f t="shared" si="17"/>
        <v/>
      </c>
      <c r="F249" s="9" t="str">
        <f t="shared" si="18"/>
        <v/>
      </c>
      <c r="G249" s="10"/>
      <c r="H249" s="10" t="str">
        <f>IF(A249="","",G249+Q249)</f>
        <v/>
      </c>
      <c r="M249" t="str">
        <f>IF(A249="","",IF(Q249="", "", ROUND(20 * EXP(LN(50/20) * ((HOUR(Q249)*60 + MINUTE(Q249) - 30) / 30)), 2) * R249 * (1 - S249)))</f>
        <v/>
      </c>
      <c r="P249" t="str" cm="1">
        <f t="array" aca="1" ref="P249" ca="1">IF(AND(A249&lt;&gt;"", C249&lt;&gt;""),
   SUMPRODUCT(--(TEXT(DATE(YEAR(TODAY()), MONTH(TODAY()), ROW(INDIRECT("1:" &amp; DAY(EOMONTH(TODAY(), 0))))), "dddd")=C249)),
   "")</f>
        <v/>
      </c>
      <c r="Q249" s="12"/>
      <c r="R249" s="11" t="str">
        <f t="shared" si="15"/>
        <v/>
      </c>
      <c r="U249" s="13"/>
    </row>
    <row r="250" spans="2:21" ht="18" x14ac:dyDescent="0.35">
      <c r="B250" t="str">
        <f>IF(A250="", "", IF(Q250="", "", IF(Q250=TIME(0,30,0), "Half Hour", IF(Q250=TIME(1,0,0), "Hour", TEXT(Q250*1440, "0") &amp; " Minutes"))))</f>
        <v/>
      </c>
      <c r="D250" s="9" t="str">
        <f t="shared" si="16"/>
        <v/>
      </c>
      <c r="E250" t="str">
        <f t="shared" si="17"/>
        <v/>
      </c>
      <c r="F250" s="9" t="str">
        <f t="shared" si="18"/>
        <v/>
      </c>
      <c r="G250" s="10"/>
      <c r="H250" s="10" t="str">
        <f>IF(A250="","",G250+Q250)</f>
        <v/>
      </c>
      <c r="M250" t="str">
        <f>IF(A250="","",IF(Q250="", "", ROUND(20 * EXP(LN(50/20) * ((HOUR(Q250)*60 + MINUTE(Q250) - 30) / 30)), 2) * R250 * (1 - S250)))</f>
        <v/>
      </c>
      <c r="P250" t="str" cm="1">
        <f t="array" aca="1" ref="P250" ca="1">IF(AND(A250&lt;&gt;"", C250&lt;&gt;""),
   SUMPRODUCT(--(TEXT(DATE(YEAR(TODAY()), MONTH(TODAY()), ROW(INDIRECT("1:" &amp; DAY(EOMONTH(TODAY(), 0))))), "dddd")=C250)),
   "")</f>
        <v/>
      </c>
      <c r="Q250" s="12"/>
      <c r="R250" s="11" t="str">
        <f t="shared" si="15"/>
        <v/>
      </c>
      <c r="U250" s="13"/>
    </row>
    <row r="251" spans="2:21" ht="18" x14ac:dyDescent="0.35">
      <c r="B251" t="str">
        <f>IF(A251="", "", IF(Q251="", "", IF(Q251=TIME(0,30,0), "Half Hour", IF(Q251=TIME(1,0,0), "Hour", TEXT(Q251*1440, "0") &amp; " Minutes"))))</f>
        <v/>
      </c>
      <c r="D251" s="9" t="str">
        <f t="shared" si="16"/>
        <v/>
      </c>
      <c r="E251" t="str">
        <f t="shared" si="17"/>
        <v/>
      </c>
      <c r="F251" s="9" t="str">
        <f t="shared" si="18"/>
        <v/>
      </c>
      <c r="G251" s="10"/>
      <c r="H251" s="10" t="str">
        <f>IF(A251="","",G251+Q251)</f>
        <v/>
      </c>
      <c r="M251" t="str">
        <f>IF(A251="","",IF(Q251="", "", ROUND(20 * EXP(LN(50/20) * ((HOUR(Q251)*60 + MINUTE(Q251) - 30) / 30)), 2) * R251 * (1 - S251)))</f>
        <v/>
      </c>
      <c r="P251" t="str" cm="1">
        <f t="array" aca="1" ref="P251" ca="1">IF(AND(A251&lt;&gt;"", C251&lt;&gt;""),
   SUMPRODUCT(--(TEXT(DATE(YEAR(TODAY()), MONTH(TODAY()), ROW(INDIRECT("1:" &amp; DAY(EOMONTH(TODAY(), 0))))), "dddd")=C251)),
   "")</f>
        <v/>
      </c>
      <c r="Q251" s="12"/>
      <c r="R251" s="11" t="str">
        <f t="shared" si="15"/>
        <v/>
      </c>
      <c r="U251" s="13"/>
    </row>
    <row r="252" spans="2:21" ht="18" x14ac:dyDescent="0.35">
      <c r="B252" t="str">
        <f>IF(A252="", "", IF(Q252="", "", IF(Q252=TIME(0,30,0), "Half Hour", IF(Q252=TIME(1,0,0), "Hour", TEXT(Q252*1440, "0") &amp; " Minutes"))))</f>
        <v/>
      </c>
      <c r="D252" s="9" t="str">
        <f t="shared" si="16"/>
        <v/>
      </c>
      <c r="E252" t="str">
        <f t="shared" si="17"/>
        <v/>
      </c>
      <c r="F252" s="9" t="str">
        <f t="shared" si="18"/>
        <v/>
      </c>
      <c r="G252" s="10"/>
      <c r="H252" s="10" t="str">
        <f>IF(A252="","",G252+Q252)</f>
        <v/>
      </c>
      <c r="M252" t="str">
        <f>IF(A252="","",IF(Q252="", "", ROUND(20 * EXP(LN(50/20) * ((HOUR(Q252)*60 + MINUTE(Q252) - 30) / 30)), 2) * R252 * (1 - S252)))</f>
        <v/>
      </c>
      <c r="P252" t="str" cm="1">
        <f t="array" aca="1" ref="P252" ca="1">IF(AND(A252&lt;&gt;"", C252&lt;&gt;""),
   SUMPRODUCT(--(TEXT(DATE(YEAR(TODAY()), MONTH(TODAY()), ROW(INDIRECT("1:" &amp; DAY(EOMONTH(TODAY(), 0))))), "dddd")=C252)),
   "")</f>
        <v/>
      </c>
      <c r="Q252" s="12"/>
      <c r="R252" s="11" t="str">
        <f t="shared" si="15"/>
        <v/>
      </c>
      <c r="U252" s="13"/>
    </row>
    <row r="253" spans="2:21" ht="18" x14ac:dyDescent="0.35">
      <c r="B253" t="str">
        <f>IF(A253="", "", IF(Q253="", "", IF(Q253=TIME(0,30,0), "Half Hour", IF(Q253=TIME(1,0,0), "Hour", TEXT(Q253*1440, "0") &amp; " Minutes"))))</f>
        <v/>
      </c>
      <c r="D253" s="9" t="str">
        <f t="shared" si="16"/>
        <v/>
      </c>
      <c r="E253" t="str">
        <f t="shared" si="17"/>
        <v/>
      </c>
      <c r="F253" s="9" t="str">
        <f t="shared" si="18"/>
        <v/>
      </c>
      <c r="G253" s="10"/>
      <c r="H253" s="10" t="str">
        <f>IF(A253="","",G253+Q253)</f>
        <v/>
      </c>
      <c r="M253" t="str">
        <f>IF(A253="","",IF(Q253="", "", ROUND(20 * EXP(LN(50/20) * ((HOUR(Q253)*60 + MINUTE(Q253) - 30) / 30)), 2) * R253 * (1 - S253)))</f>
        <v/>
      </c>
      <c r="P253" t="str" cm="1">
        <f t="array" aca="1" ref="P253" ca="1">IF(AND(A253&lt;&gt;"", C253&lt;&gt;""),
   SUMPRODUCT(--(TEXT(DATE(YEAR(TODAY()), MONTH(TODAY()), ROW(INDIRECT("1:" &amp; DAY(EOMONTH(TODAY(), 0))))), "dddd")=C253)),
   "")</f>
        <v/>
      </c>
      <c r="Q253" s="12"/>
      <c r="R253" s="11" t="str">
        <f t="shared" si="15"/>
        <v/>
      </c>
      <c r="U253" s="13"/>
    </row>
    <row r="254" spans="2:21" ht="18" x14ac:dyDescent="0.35">
      <c r="B254" t="str">
        <f>IF(A254="", "", IF(Q254="", "", IF(Q254=TIME(0,30,0), "Half Hour", IF(Q254=TIME(1,0,0), "Hour", TEXT(Q254*1440, "0") &amp; " Minutes"))))</f>
        <v/>
      </c>
      <c r="D254" s="9" t="str">
        <f t="shared" si="16"/>
        <v/>
      </c>
      <c r="E254" t="str">
        <f t="shared" si="17"/>
        <v/>
      </c>
      <c r="F254" s="9" t="str">
        <f t="shared" si="18"/>
        <v/>
      </c>
      <c r="G254" s="10"/>
      <c r="H254" s="10" t="str">
        <f>IF(A254="","",G254+Q254)</f>
        <v/>
      </c>
      <c r="M254" t="str">
        <f>IF(A254="","",IF(Q254="", "", ROUND(20 * EXP(LN(50/20) * ((HOUR(Q254)*60 + MINUTE(Q254) - 30) / 30)), 2) * R254 * (1 - S254)))</f>
        <v/>
      </c>
      <c r="P254" t="str" cm="1">
        <f t="array" aca="1" ref="P254" ca="1">IF(AND(A254&lt;&gt;"", C254&lt;&gt;""),
   SUMPRODUCT(--(TEXT(DATE(YEAR(TODAY()), MONTH(TODAY()), ROW(INDIRECT("1:" &amp; DAY(EOMONTH(TODAY(), 0))))), "dddd")=C254)),
   "")</f>
        <v/>
      </c>
      <c r="Q254" s="12"/>
      <c r="R254" s="11" t="str">
        <f t="shared" si="15"/>
        <v/>
      </c>
      <c r="U254" s="13"/>
    </row>
    <row r="255" spans="2:21" ht="18" x14ac:dyDescent="0.35">
      <c r="B255" t="str">
        <f>IF(A255="", "", IF(Q255="", "", IF(Q255=TIME(0,30,0), "Half Hour", IF(Q255=TIME(1,0,0), "Hour", TEXT(Q255*1440, "0") &amp; " Minutes"))))</f>
        <v/>
      </c>
      <c r="D255" s="9" t="str">
        <f t="shared" si="16"/>
        <v/>
      </c>
      <c r="E255" t="str">
        <f t="shared" si="17"/>
        <v/>
      </c>
      <c r="F255" s="9" t="str">
        <f t="shared" si="18"/>
        <v/>
      </c>
      <c r="G255" s="10"/>
      <c r="H255" s="10" t="str">
        <f>IF(A255="","",G255+Q255)</f>
        <v/>
      </c>
      <c r="M255" t="str">
        <f>IF(A255="","",IF(Q255="", "", ROUND(20 * EXP(LN(50/20) * ((HOUR(Q255)*60 + MINUTE(Q255) - 30) / 30)), 2) * R255 * (1 - S255)))</f>
        <v/>
      </c>
      <c r="P255" t="str" cm="1">
        <f t="array" aca="1" ref="P255" ca="1">IF(AND(A255&lt;&gt;"", C255&lt;&gt;""),
   SUMPRODUCT(--(TEXT(DATE(YEAR(TODAY()), MONTH(TODAY()), ROW(INDIRECT("1:" &amp; DAY(EOMONTH(TODAY(), 0))))), "dddd")=C255)),
   "")</f>
        <v/>
      </c>
      <c r="Q255" s="12"/>
      <c r="R255" s="11" t="str">
        <f t="shared" si="15"/>
        <v/>
      </c>
      <c r="U255" s="13"/>
    </row>
    <row r="256" spans="2:21" ht="18" x14ac:dyDescent="0.35">
      <c r="B256" t="str">
        <f>IF(A256="", "", IF(Q256="", "", IF(Q256=TIME(0,30,0), "Half Hour", IF(Q256=TIME(1,0,0), "Hour", TEXT(Q256*1440, "0") &amp; " Minutes"))))</f>
        <v/>
      </c>
      <c r="D256" s="9" t="str">
        <f t="shared" si="16"/>
        <v/>
      </c>
      <c r="E256" t="str">
        <f t="shared" si="17"/>
        <v/>
      </c>
      <c r="F256" s="9" t="str">
        <f t="shared" si="18"/>
        <v/>
      </c>
      <c r="G256" s="10"/>
      <c r="H256" s="10" t="str">
        <f>IF(A256="","",G256+Q256)</f>
        <v/>
      </c>
      <c r="M256" t="str">
        <f>IF(A256="","",IF(Q256="", "", ROUND(20 * EXP(LN(50/20) * ((HOUR(Q256)*60 + MINUTE(Q256) - 30) / 30)), 2) * R256 * (1 - S256)))</f>
        <v/>
      </c>
      <c r="P256" t="str" cm="1">
        <f t="array" aca="1" ref="P256" ca="1">IF(AND(A256&lt;&gt;"", C256&lt;&gt;""),
   SUMPRODUCT(--(TEXT(DATE(YEAR(TODAY()), MONTH(TODAY()), ROW(INDIRECT("1:" &amp; DAY(EOMONTH(TODAY(), 0))))), "dddd")=C256)),
   "")</f>
        <v/>
      </c>
      <c r="Q256" s="12"/>
      <c r="R256" s="11" t="str">
        <f t="shared" si="15"/>
        <v/>
      </c>
      <c r="U256" s="13"/>
    </row>
    <row r="257" spans="2:21" ht="18" x14ac:dyDescent="0.35">
      <c r="B257" t="str">
        <f>IF(A257="", "", IF(Q257="", "", IF(Q257=TIME(0,30,0), "Half Hour", IF(Q257=TIME(1,0,0), "Hour", TEXT(Q257*1440, "0") &amp; " Minutes"))))</f>
        <v/>
      </c>
      <c r="D257" s="9" t="str">
        <f t="shared" si="16"/>
        <v/>
      </c>
      <c r="E257" t="str">
        <f t="shared" si="17"/>
        <v/>
      </c>
      <c r="F257" s="9" t="str">
        <f t="shared" si="18"/>
        <v/>
      </c>
      <c r="G257" s="10"/>
      <c r="H257" s="10" t="str">
        <f>IF(A257="","",G257+Q257)</f>
        <v/>
      </c>
      <c r="M257" t="str">
        <f>IF(A257="","",IF(Q257="", "", ROUND(20 * EXP(LN(50/20) * ((HOUR(Q257)*60 + MINUTE(Q257) - 30) / 30)), 2) * R257 * (1 - S257)))</f>
        <v/>
      </c>
      <c r="P257" t="str" cm="1">
        <f t="array" aca="1" ref="P257" ca="1">IF(AND(A257&lt;&gt;"", C257&lt;&gt;""),
   SUMPRODUCT(--(TEXT(DATE(YEAR(TODAY()), MONTH(TODAY()), ROW(INDIRECT("1:" &amp; DAY(EOMONTH(TODAY(), 0))))), "dddd")=C257)),
   "")</f>
        <v/>
      </c>
      <c r="Q257" s="12"/>
      <c r="R257" s="11" t="str">
        <f t="shared" ref="R257:R320" si="19">IF(A257="", "", IFERROR(VALUE(MID(A257,FIND("(",A257)+1,FIND(")",A257)-FIND("(",A257)-1)), 1))</f>
        <v/>
      </c>
      <c r="U257" s="13"/>
    </row>
    <row r="258" spans="2:21" ht="18" x14ac:dyDescent="0.35">
      <c r="B258" t="str">
        <f>IF(A258="", "", IF(Q258="", "", IF(Q258=TIME(0,30,0), "Half Hour", IF(Q258=TIME(1,0,0), "Hour", TEXT(Q258*1440, "0") &amp; " Minutes"))))</f>
        <v/>
      </c>
      <c r="D258" s="9" t="str">
        <f t="shared" si="16"/>
        <v/>
      </c>
      <c r="E258" t="str">
        <f t="shared" si="17"/>
        <v/>
      </c>
      <c r="F258" s="9" t="str">
        <f t="shared" si="18"/>
        <v/>
      </c>
      <c r="G258" s="10"/>
      <c r="H258" s="10" t="str">
        <f>IF(A258="","",G258+Q258)</f>
        <v/>
      </c>
      <c r="M258" t="str">
        <f>IF(A258="","",IF(Q258="", "", ROUND(20 * EXP(LN(50/20) * ((HOUR(Q258)*60 + MINUTE(Q258) - 30) / 30)), 2) * R258 * (1 - S258)))</f>
        <v/>
      </c>
      <c r="P258" t="str" cm="1">
        <f t="array" aca="1" ref="P258" ca="1">IF(AND(A258&lt;&gt;"", C258&lt;&gt;""),
   SUMPRODUCT(--(TEXT(DATE(YEAR(TODAY()), MONTH(TODAY()), ROW(INDIRECT("1:" &amp; DAY(EOMONTH(TODAY(), 0))))), "dddd")=C258)),
   "")</f>
        <v/>
      </c>
      <c r="Q258" s="12"/>
      <c r="R258" s="11" t="str">
        <f t="shared" si="19"/>
        <v/>
      </c>
      <c r="U258" s="13"/>
    </row>
    <row r="259" spans="2:21" ht="18" x14ac:dyDescent="0.35">
      <c r="B259" t="str">
        <f>IF(A259="", "", IF(Q259="", "", IF(Q259=TIME(0,30,0), "Half Hour", IF(Q259=TIME(1,0,0), "Hour", TEXT(Q259*1440, "0") &amp; " Minutes"))))</f>
        <v/>
      </c>
      <c r="D259" s="9" t="str">
        <f t="shared" ref="D259:D322" si="20">IF(A259="","",F259-IF(E259="",0,E259))</f>
        <v/>
      </c>
      <c r="E259" t="str">
        <f t="shared" ref="E259:E322" si="21">IF(A259="","",IF(L259="No","",1.5*O259))</f>
        <v/>
      </c>
      <c r="F259" s="9" t="str">
        <f t="shared" ref="F259:F322" si="22">IF(A259="","",M259*P259)</f>
        <v/>
      </c>
      <c r="G259" s="10"/>
      <c r="H259" s="10" t="str">
        <f>IF(A259="","",G259+Q259)</f>
        <v/>
      </c>
      <c r="M259" t="str">
        <f>IF(A259="","",IF(Q259="", "", ROUND(20 * EXP(LN(50/20) * ((HOUR(Q259)*60 + MINUTE(Q259) - 30) / 30)), 2) * R259 * (1 - S259)))</f>
        <v/>
      </c>
      <c r="P259" t="str" cm="1">
        <f t="array" aca="1" ref="P259" ca="1">IF(AND(A259&lt;&gt;"", C259&lt;&gt;""),
   SUMPRODUCT(--(TEXT(DATE(YEAR(TODAY()), MONTH(TODAY()), ROW(INDIRECT("1:" &amp; DAY(EOMONTH(TODAY(), 0))))), "dddd")=C259)),
   "")</f>
        <v/>
      </c>
      <c r="Q259" s="12"/>
      <c r="R259" s="11" t="str">
        <f t="shared" si="19"/>
        <v/>
      </c>
      <c r="U259" s="13"/>
    </row>
    <row r="260" spans="2:21" ht="18" x14ac:dyDescent="0.35">
      <c r="B260" t="str">
        <f>IF(A260="", "", IF(Q260="", "", IF(Q260=TIME(0,30,0), "Half Hour", IF(Q260=TIME(1,0,0), "Hour", TEXT(Q260*1440, "0") &amp; " Minutes"))))</f>
        <v/>
      </c>
      <c r="D260" s="9" t="str">
        <f t="shared" si="20"/>
        <v/>
      </c>
      <c r="E260" t="str">
        <f t="shared" si="21"/>
        <v/>
      </c>
      <c r="F260" s="9" t="str">
        <f t="shared" si="22"/>
        <v/>
      </c>
      <c r="G260" s="10"/>
      <c r="H260" s="10" t="str">
        <f>IF(A260="","",G260+Q260)</f>
        <v/>
      </c>
      <c r="M260" t="str">
        <f>IF(A260="","",IF(Q260="", "", ROUND(20 * EXP(LN(50/20) * ((HOUR(Q260)*60 + MINUTE(Q260) - 30) / 30)), 2) * R260 * (1 - S260)))</f>
        <v/>
      </c>
      <c r="P260" t="str" cm="1">
        <f t="array" aca="1" ref="P260" ca="1">IF(AND(A260&lt;&gt;"", C260&lt;&gt;""),
   SUMPRODUCT(--(TEXT(DATE(YEAR(TODAY()), MONTH(TODAY()), ROW(INDIRECT("1:" &amp; DAY(EOMONTH(TODAY(), 0))))), "dddd")=C260)),
   "")</f>
        <v/>
      </c>
      <c r="Q260" s="12"/>
      <c r="R260" s="11" t="str">
        <f t="shared" si="19"/>
        <v/>
      </c>
      <c r="U260" s="13"/>
    </row>
    <row r="261" spans="2:21" ht="18" x14ac:dyDescent="0.35">
      <c r="B261" t="str">
        <f>IF(A261="", "", IF(Q261="", "", IF(Q261=TIME(0,30,0), "Half Hour", IF(Q261=TIME(1,0,0), "Hour", TEXT(Q261*1440, "0") &amp; " Minutes"))))</f>
        <v/>
      </c>
      <c r="D261" s="9" t="str">
        <f t="shared" si="20"/>
        <v/>
      </c>
      <c r="E261" t="str">
        <f t="shared" si="21"/>
        <v/>
      </c>
      <c r="F261" s="9" t="str">
        <f t="shared" si="22"/>
        <v/>
      </c>
      <c r="G261" s="10"/>
      <c r="H261" s="10" t="str">
        <f>IF(A261="","",G261+Q261)</f>
        <v/>
      </c>
      <c r="M261" t="str">
        <f>IF(A261="","",IF(Q261="", "", ROUND(20 * EXP(LN(50/20) * ((HOUR(Q261)*60 + MINUTE(Q261) - 30) / 30)), 2) * R261 * (1 - S261)))</f>
        <v/>
      </c>
      <c r="P261" t="str" cm="1">
        <f t="array" aca="1" ref="P261" ca="1">IF(AND(A261&lt;&gt;"", C261&lt;&gt;""),
   SUMPRODUCT(--(TEXT(DATE(YEAR(TODAY()), MONTH(TODAY()), ROW(INDIRECT("1:" &amp; DAY(EOMONTH(TODAY(), 0))))), "dddd")=C261)),
   "")</f>
        <v/>
      </c>
      <c r="Q261" s="12"/>
      <c r="R261" s="11" t="str">
        <f t="shared" si="19"/>
        <v/>
      </c>
      <c r="U261" s="13"/>
    </row>
    <row r="262" spans="2:21" ht="18" x14ac:dyDescent="0.35">
      <c r="B262" t="str">
        <f>IF(A262="", "", IF(Q262="", "", IF(Q262=TIME(0,30,0), "Half Hour", IF(Q262=TIME(1,0,0), "Hour", TEXT(Q262*1440, "0") &amp; " Minutes"))))</f>
        <v/>
      </c>
      <c r="D262" s="9" t="str">
        <f t="shared" si="20"/>
        <v/>
      </c>
      <c r="E262" t="str">
        <f t="shared" si="21"/>
        <v/>
      </c>
      <c r="F262" s="9" t="str">
        <f t="shared" si="22"/>
        <v/>
      </c>
      <c r="G262" s="10"/>
      <c r="H262" s="10" t="str">
        <f>IF(A262="","",G262+Q262)</f>
        <v/>
      </c>
      <c r="M262" t="str">
        <f>IF(A262="","",IF(Q262="", "", ROUND(20 * EXP(LN(50/20) * ((HOUR(Q262)*60 + MINUTE(Q262) - 30) / 30)), 2) * R262 * (1 - S262)))</f>
        <v/>
      </c>
      <c r="P262" t="str" cm="1">
        <f t="array" aca="1" ref="P262" ca="1">IF(AND(A262&lt;&gt;"", C262&lt;&gt;""),
   SUMPRODUCT(--(TEXT(DATE(YEAR(TODAY()), MONTH(TODAY()), ROW(INDIRECT("1:" &amp; DAY(EOMONTH(TODAY(), 0))))), "dddd")=C262)),
   "")</f>
        <v/>
      </c>
      <c r="Q262" s="12"/>
      <c r="R262" s="11" t="str">
        <f t="shared" si="19"/>
        <v/>
      </c>
      <c r="U262" s="13"/>
    </row>
    <row r="263" spans="2:21" ht="18" x14ac:dyDescent="0.35">
      <c r="B263" t="str">
        <f>IF(A263="", "", IF(Q263="", "", IF(Q263=TIME(0,30,0), "Half Hour", IF(Q263=TIME(1,0,0), "Hour", TEXT(Q263*1440, "0") &amp; " Minutes"))))</f>
        <v/>
      </c>
      <c r="D263" s="9" t="str">
        <f t="shared" si="20"/>
        <v/>
      </c>
      <c r="E263" t="str">
        <f t="shared" si="21"/>
        <v/>
      </c>
      <c r="F263" s="9" t="str">
        <f t="shared" si="22"/>
        <v/>
      </c>
      <c r="G263" s="10"/>
      <c r="H263" s="10" t="str">
        <f>IF(A263="","",G263+Q263)</f>
        <v/>
      </c>
      <c r="M263" t="str">
        <f>IF(A263="","",IF(Q263="", "", ROUND(20 * EXP(LN(50/20) * ((HOUR(Q263)*60 + MINUTE(Q263) - 30) / 30)), 2) * R263 * (1 - S263)))</f>
        <v/>
      </c>
      <c r="P263" t="str" cm="1">
        <f t="array" aca="1" ref="P263" ca="1">IF(AND(A263&lt;&gt;"", C263&lt;&gt;""),
   SUMPRODUCT(--(TEXT(DATE(YEAR(TODAY()), MONTH(TODAY()), ROW(INDIRECT("1:" &amp; DAY(EOMONTH(TODAY(), 0))))), "dddd")=C263)),
   "")</f>
        <v/>
      </c>
      <c r="Q263" s="12"/>
      <c r="R263" s="11" t="str">
        <f t="shared" si="19"/>
        <v/>
      </c>
      <c r="U263" s="13"/>
    </row>
    <row r="264" spans="2:21" ht="18" x14ac:dyDescent="0.35">
      <c r="B264" t="str">
        <f>IF(A264="", "", IF(Q264="", "", IF(Q264=TIME(0,30,0), "Half Hour", IF(Q264=TIME(1,0,0), "Hour", TEXT(Q264*1440, "0") &amp; " Minutes"))))</f>
        <v/>
      </c>
      <c r="D264" s="9" t="str">
        <f t="shared" si="20"/>
        <v/>
      </c>
      <c r="E264" t="str">
        <f t="shared" si="21"/>
        <v/>
      </c>
      <c r="F264" s="9" t="str">
        <f t="shared" si="22"/>
        <v/>
      </c>
      <c r="G264" s="10"/>
      <c r="H264" s="10" t="str">
        <f>IF(A264="","",G264+Q264)</f>
        <v/>
      </c>
      <c r="M264" t="str">
        <f>IF(A264="","",IF(Q264="", "", ROUND(20 * EXP(LN(50/20) * ((HOUR(Q264)*60 + MINUTE(Q264) - 30) / 30)), 2) * R264 * (1 - S264)))</f>
        <v/>
      </c>
      <c r="P264" t="str" cm="1">
        <f t="array" aca="1" ref="P264" ca="1">IF(AND(A264&lt;&gt;"", C264&lt;&gt;""),
   SUMPRODUCT(--(TEXT(DATE(YEAR(TODAY()), MONTH(TODAY()), ROW(INDIRECT("1:" &amp; DAY(EOMONTH(TODAY(), 0))))), "dddd")=C264)),
   "")</f>
        <v/>
      </c>
      <c r="Q264" s="12"/>
      <c r="R264" s="11" t="str">
        <f t="shared" si="19"/>
        <v/>
      </c>
      <c r="U264" s="13"/>
    </row>
    <row r="265" spans="2:21" ht="18" x14ac:dyDescent="0.35">
      <c r="B265" t="str">
        <f>IF(A265="", "", IF(Q265="", "", IF(Q265=TIME(0,30,0), "Half Hour", IF(Q265=TIME(1,0,0), "Hour", TEXT(Q265*1440, "0") &amp; " Minutes"))))</f>
        <v/>
      </c>
      <c r="D265" s="9" t="str">
        <f t="shared" si="20"/>
        <v/>
      </c>
      <c r="E265" t="str">
        <f t="shared" si="21"/>
        <v/>
      </c>
      <c r="F265" s="9" t="str">
        <f t="shared" si="22"/>
        <v/>
      </c>
      <c r="G265" s="10"/>
      <c r="H265" s="10" t="str">
        <f>IF(A265="","",G265+Q265)</f>
        <v/>
      </c>
      <c r="M265" t="str">
        <f>IF(A265="","",IF(Q265="", "", ROUND(20 * EXP(LN(50/20) * ((HOUR(Q265)*60 + MINUTE(Q265) - 30) / 30)), 2) * R265 * (1 - S265)))</f>
        <v/>
      </c>
      <c r="P265" t="str" cm="1">
        <f t="array" aca="1" ref="P265" ca="1">IF(AND(A265&lt;&gt;"", C265&lt;&gt;""),
   SUMPRODUCT(--(TEXT(DATE(YEAR(TODAY()), MONTH(TODAY()), ROW(INDIRECT("1:" &amp; DAY(EOMONTH(TODAY(), 0))))), "dddd")=C265)),
   "")</f>
        <v/>
      </c>
      <c r="Q265" s="12"/>
      <c r="R265" s="11" t="str">
        <f t="shared" si="19"/>
        <v/>
      </c>
      <c r="U265" s="13"/>
    </row>
    <row r="266" spans="2:21" ht="18" x14ac:dyDescent="0.35">
      <c r="B266" t="str">
        <f>IF(A266="", "", IF(Q266="", "", IF(Q266=TIME(0,30,0), "Half Hour", IF(Q266=TIME(1,0,0), "Hour", TEXT(Q266*1440, "0") &amp; " Minutes"))))</f>
        <v/>
      </c>
      <c r="D266" s="9" t="str">
        <f t="shared" si="20"/>
        <v/>
      </c>
      <c r="E266" t="str">
        <f t="shared" si="21"/>
        <v/>
      </c>
      <c r="F266" s="9" t="str">
        <f t="shared" si="22"/>
        <v/>
      </c>
      <c r="G266" s="10"/>
      <c r="H266" s="10" t="str">
        <f>IF(A266="","",G266+Q266)</f>
        <v/>
      </c>
      <c r="M266" t="str">
        <f>IF(A266="","",IF(Q266="", "", ROUND(20 * EXP(LN(50/20) * ((HOUR(Q266)*60 + MINUTE(Q266) - 30) / 30)), 2) * R266 * (1 - S266)))</f>
        <v/>
      </c>
      <c r="P266" t="str" cm="1">
        <f t="array" aca="1" ref="P266" ca="1">IF(AND(A266&lt;&gt;"", C266&lt;&gt;""),
   SUMPRODUCT(--(TEXT(DATE(YEAR(TODAY()), MONTH(TODAY()), ROW(INDIRECT("1:" &amp; DAY(EOMONTH(TODAY(), 0))))), "dddd")=C266)),
   "")</f>
        <v/>
      </c>
      <c r="Q266" s="12"/>
      <c r="R266" s="11" t="str">
        <f t="shared" si="19"/>
        <v/>
      </c>
      <c r="U266" s="13"/>
    </row>
    <row r="267" spans="2:21" ht="18" x14ac:dyDescent="0.35">
      <c r="B267" t="str">
        <f>IF(A267="", "", IF(Q267="", "", IF(Q267=TIME(0,30,0), "Half Hour", IF(Q267=TIME(1,0,0), "Hour", TEXT(Q267*1440, "0") &amp; " Minutes"))))</f>
        <v/>
      </c>
      <c r="D267" s="9" t="str">
        <f t="shared" si="20"/>
        <v/>
      </c>
      <c r="E267" t="str">
        <f t="shared" si="21"/>
        <v/>
      </c>
      <c r="F267" s="9" t="str">
        <f t="shared" si="22"/>
        <v/>
      </c>
      <c r="G267" s="10"/>
      <c r="H267" s="10" t="str">
        <f>IF(A267="","",G267+Q267)</f>
        <v/>
      </c>
      <c r="M267" t="str">
        <f>IF(A267="","",IF(Q267="", "", ROUND(20 * EXP(LN(50/20) * ((HOUR(Q267)*60 + MINUTE(Q267) - 30) / 30)), 2) * R267 * (1 - S267)))</f>
        <v/>
      </c>
      <c r="P267" t="str" cm="1">
        <f t="array" aca="1" ref="P267" ca="1">IF(AND(A267&lt;&gt;"", C267&lt;&gt;""),
   SUMPRODUCT(--(TEXT(DATE(YEAR(TODAY()), MONTH(TODAY()), ROW(INDIRECT("1:" &amp; DAY(EOMONTH(TODAY(), 0))))), "dddd")=C267)),
   "")</f>
        <v/>
      </c>
      <c r="Q267" s="12"/>
      <c r="R267" s="11" t="str">
        <f t="shared" si="19"/>
        <v/>
      </c>
      <c r="U267" s="13"/>
    </row>
    <row r="268" spans="2:21" ht="18" x14ac:dyDescent="0.35">
      <c r="B268" t="str">
        <f>IF(A268="", "", IF(Q268="", "", IF(Q268=TIME(0,30,0), "Half Hour", IF(Q268=TIME(1,0,0), "Hour", TEXT(Q268*1440, "0") &amp; " Minutes"))))</f>
        <v/>
      </c>
      <c r="D268" s="9" t="str">
        <f t="shared" si="20"/>
        <v/>
      </c>
      <c r="E268" t="str">
        <f t="shared" si="21"/>
        <v/>
      </c>
      <c r="F268" s="9" t="str">
        <f t="shared" si="22"/>
        <v/>
      </c>
      <c r="G268" s="10"/>
      <c r="H268" s="10" t="str">
        <f>IF(A268="","",G268+Q268)</f>
        <v/>
      </c>
      <c r="M268" t="str">
        <f>IF(A268="","",IF(Q268="", "", ROUND(20 * EXP(LN(50/20) * ((HOUR(Q268)*60 + MINUTE(Q268) - 30) / 30)), 2) * R268 * (1 - S268)))</f>
        <v/>
      </c>
      <c r="P268" t="str" cm="1">
        <f t="array" aca="1" ref="P268" ca="1">IF(AND(A268&lt;&gt;"", C268&lt;&gt;""),
   SUMPRODUCT(--(TEXT(DATE(YEAR(TODAY()), MONTH(TODAY()), ROW(INDIRECT("1:" &amp; DAY(EOMONTH(TODAY(), 0))))), "dddd")=C268)),
   "")</f>
        <v/>
      </c>
      <c r="Q268" s="12"/>
      <c r="R268" s="11" t="str">
        <f t="shared" si="19"/>
        <v/>
      </c>
      <c r="U268" s="13"/>
    </row>
    <row r="269" spans="2:21" ht="18" x14ac:dyDescent="0.35">
      <c r="B269" t="str">
        <f>IF(A269="", "", IF(Q269="", "", IF(Q269=TIME(0,30,0), "Half Hour", IF(Q269=TIME(1,0,0), "Hour", TEXT(Q269*1440, "0") &amp; " Minutes"))))</f>
        <v/>
      </c>
      <c r="D269" s="9" t="str">
        <f t="shared" si="20"/>
        <v/>
      </c>
      <c r="E269" t="str">
        <f t="shared" si="21"/>
        <v/>
      </c>
      <c r="F269" s="9" t="str">
        <f t="shared" si="22"/>
        <v/>
      </c>
      <c r="G269" s="10"/>
      <c r="H269" s="10" t="str">
        <f>IF(A269="","",G269+Q269)</f>
        <v/>
      </c>
      <c r="M269" t="str">
        <f>IF(A269="","",IF(Q269="", "", ROUND(20 * EXP(LN(50/20) * ((HOUR(Q269)*60 + MINUTE(Q269) - 30) / 30)), 2) * R269 * (1 - S269)))</f>
        <v/>
      </c>
      <c r="P269" t="str" cm="1">
        <f t="array" aca="1" ref="P269" ca="1">IF(AND(A269&lt;&gt;"", C269&lt;&gt;""),
   SUMPRODUCT(--(TEXT(DATE(YEAR(TODAY()), MONTH(TODAY()), ROW(INDIRECT("1:" &amp; DAY(EOMONTH(TODAY(), 0))))), "dddd")=C269)),
   "")</f>
        <v/>
      </c>
      <c r="Q269" s="12"/>
      <c r="R269" s="11" t="str">
        <f t="shared" si="19"/>
        <v/>
      </c>
      <c r="U269" s="13"/>
    </row>
    <row r="270" spans="2:21" ht="18" x14ac:dyDescent="0.35">
      <c r="B270" t="str">
        <f>IF(A270="", "", IF(Q270="", "", IF(Q270=TIME(0,30,0), "Half Hour", IF(Q270=TIME(1,0,0), "Hour", TEXT(Q270*1440, "0") &amp; " Minutes"))))</f>
        <v/>
      </c>
      <c r="D270" s="9" t="str">
        <f t="shared" si="20"/>
        <v/>
      </c>
      <c r="E270" t="str">
        <f t="shared" si="21"/>
        <v/>
      </c>
      <c r="F270" s="9" t="str">
        <f t="shared" si="22"/>
        <v/>
      </c>
      <c r="G270" s="10"/>
      <c r="H270" s="10" t="str">
        <f>IF(A270="","",G270+Q270)</f>
        <v/>
      </c>
      <c r="M270" t="str">
        <f>IF(A270="","",IF(Q270="", "", ROUND(20 * EXP(LN(50/20) * ((HOUR(Q270)*60 + MINUTE(Q270) - 30) / 30)), 2) * R270 * (1 - S270)))</f>
        <v/>
      </c>
      <c r="P270" t="str" cm="1">
        <f t="array" aca="1" ref="P270" ca="1">IF(AND(A270&lt;&gt;"", C270&lt;&gt;""),
   SUMPRODUCT(--(TEXT(DATE(YEAR(TODAY()), MONTH(TODAY()), ROW(INDIRECT("1:" &amp; DAY(EOMONTH(TODAY(), 0))))), "dddd")=C270)),
   "")</f>
        <v/>
      </c>
      <c r="Q270" s="12"/>
      <c r="R270" s="11" t="str">
        <f t="shared" si="19"/>
        <v/>
      </c>
      <c r="U270" s="13"/>
    </row>
    <row r="271" spans="2:21" ht="18" x14ac:dyDescent="0.35">
      <c r="B271" t="str">
        <f>IF(A271="", "", IF(Q271="", "", IF(Q271=TIME(0,30,0), "Half Hour", IF(Q271=TIME(1,0,0), "Hour", TEXT(Q271*1440, "0") &amp; " Minutes"))))</f>
        <v/>
      </c>
      <c r="D271" s="9" t="str">
        <f t="shared" si="20"/>
        <v/>
      </c>
      <c r="E271" t="str">
        <f t="shared" si="21"/>
        <v/>
      </c>
      <c r="F271" s="9" t="str">
        <f t="shared" si="22"/>
        <v/>
      </c>
      <c r="G271" s="10"/>
      <c r="H271" s="10" t="str">
        <f>IF(A271="","",G271+Q271)</f>
        <v/>
      </c>
      <c r="M271" t="str">
        <f>IF(A271="","",IF(Q271="", "", ROUND(20 * EXP(LN(50/20) * ((HOUR(Q271)*60 + MINUTE(Q271) - 30) / 30)), 2) * R271 * (1 - S271)))</f>
        <v/>
      </c>
      <c r="P271" t="str" cm="1">
        <f t="array" aca="1" ref="P271" ca="1">IF(AND(A271&lt;&gt;"", C271&lt;&gt;""),
   SUMPRODUCT(--(TEXT(DATE(YEAR(TODAY()), MONTH(TODAY()), ROW(INDIRECT("1:" &amp; DAY(EOMONTH(TODAY(), 0))))), "dddd")=C271)),
   "")</f>
        <v/>
      </c>
      <c r="Q271" s="12"/>
      <c r="R271" s="11" t="str">
        <f t="shared" si="19"/>
        <v/>
      </c>
      <c r="U271" s="13"/>
    </row>
    <row r="272" spans="2:21" ht="18" x14ac:dyDescent="0.35">
      <c r="B272" t="str">
        <f>IF(A272="", "", IF(Q272="", "", IF(Q272=TIME(0,30,0), "Half Hour", IF(Q272=TIME(1,0,0), "Hour", TEXT(Q272*1440, "0") &amp; " Minutes"))))</f>
        <v/>
      </c>
      <c r="D272" s="9" t="str">
        <f t="shared" si="20"/>
        <v/>
      </c>
      <c r="E272" t="str">
        <f t="shared" si="21"/>
        <v/>
      </c>
      <c r="F272" s="9" t="str">
        <f t="shared" si="22"/>
        <v/>
      </c>
      <c r="G272" s="10"/>
      <c r="H272" s="10" t="str">
        <f>IF(A272="","",G272+Q272)</f>
        <v/>
      </c>
      <c r="M272" t="str">
        <f>IF(A272="","",IF(Q272="", "", ROUND(20 * EXP(LN(50/20) * ((HOUR(Q272)*60 + MINUTE(Q272) - 30) / 30)), 2) * R272 * (1 - S272)))</f>
        <v/>
      </c>
      <c r="P272" t="str" cm="1">
        <f t="array" aca="1" ref="P272" ca="1">IF(AND(A272&lt;&gt;"", C272&lt;&gt;""),
   SUMPRODUCT(--(TEXT(DATE(YEAR(TODAY()), MONTH(TODAY()), ROW(INDIRECT("1:" &amp; DAY(EOMONTH(TODAY(), 0))))), "dddd")=C272)),
   "")</f>
        <v/>
      </c>
      <c r="Q272" s="12"/>
      <c r="R272" s="11" t="str">
        <f t="shared" si="19"/>
        <v/>
      </c>
      <c r="U272" s="13"/>
    </row>
    <row r="273" spans="2:21" ht="18" x14ac:dyDescent="0.35">
      <c r="B273" t="str">
        <f>IF(A273="", "", IF(Q273="", "", IF(Q273=TIME(0,30,0), "Half Hour", IF(Q273=TIME(1,0,0), "Hour", TEXT(Q273*1440, "0") &amp; " Minutes"))))</f>
        <v/>
      </c>
      <c r="D273" s="9" t="str">
        <f t="shared" si="20"/>
        <v/>
      </c>
      <c r="E273" t="str">
        <f t="shared" si="21"/>
        <v/>
      </c>
      <c r="F273" s="9" t="str">
        <f t="shared" si="22"/>
        <v/>
      </c>
      <c r="G273" s="10"/>
      <c r="H273" s="10" t="str">
        <f>IF(A273="","",G273+Q273)</f>
        <v/>
      </c>
      <c r="M273" t="str">
        <f>IF(A273="","",IF(Q273="", "", ROUND(20 * EXP(LN(50/20) * ((HOUR(Q273)*60 + MINUTE(Q273) - 30) / 30)), 2) * R273 * (1 - S273)))</f>
        <v/>
      </c>
      <c r="P273" t="str" cm="1">
        <f t="array" aca="1" ref="P273" ca="1">IF(AND(A273&lt;&gt;"", C273&lt;&gt;""),
   SUMPRODUCT(--(TEXT(DATE(YEAR(TODAY()), MONTH(TODAY()), ROW(INDIRECT("1:" &amp; DAY(EOMONTH(TODAY(), 0))))), "dddd")=C273)),
   "")</f>
        <v/>
      </c>
      <c r="Q273" s="12"/>
      <c r="R273" s="11" t="str">
        <f t="shared" si="19"/>
        <v/>
      </c>
      <c r="U273" s="13"/>
    </row>
    <row r="274" spans="2:21" ht="18" x14ac:dyDescent="0.35">
      <c r="B274" t="str">
        <f>IF(A274="", "", IF(Q274="", "", IF(Q274=TIME(0,30,0), "Half Hour", IF(Q274=TIME(1,0,0), "Hour", TEXT(Q274*1440, "0") &amp; " Minutes"))))</f>
        <v/>
      </c>
      <c r="D274" s="9" t="str">
        <f t="shared" si="20"/>
        <v/>
      </c>
      <c r="E274" t="str">
        <f t="shared" si="21"/>
        <v/>
      </c>
      <c r="F274" s="9" t="str">
        <f t="shared" si="22"/>
        <v/>
      </c>
      <c r="G274" s="10"/>
      <c r="H274" s="10" t="str">
        <f>IF(A274="","",G274+Q274)</f>
        <v/>
      </c>
      <c r="M274" t="str">
        <f>IF(A274="","",IF(Q274="", "", ROUND(20 * EXP(LN(50/20) * ((HOUR(Q274)*60 + MINUTE(Q274) - 30) / 30)), 2) * R274 * (1 - S274)))</f>
        <v/>
      </c>
      <c r="P274" t="str" cm="1">
        <f t="array" aca="1" ref="P274" ca="1">IF(AND(A274&lt;&gt;"", C274&lt;&gt;""),
   SUMPRODUCT(--(TEXT(DATE(YEAR(TODAY()), MONTH(TODAY()), ROW(INDIRECT("1:" &amp; DAY(EOMONTH(TODAY(), 0))))), "dddd")=C274)),
   "")</f>
        <v/>
      </c>
      <c r="Q274" s="12"/>
      <c r="R274" s="11" t="str">
        <f t="shared" si="19"/>
        <v/>
      </c>
      <c r="U274" s="13"/>
    </row>
    <row r="275" spans="2:21" ht="18" x14ac:dyDescent="0.35">
      <c r="B275" t="str">
        <f>IF(A275="", "", IF(Q275="", "", IF(Q275=TIME(0,30,0), "Half Hour", IF(Q275=TIME(1,0,0), "Hour", TEXT(Q275*1440, "0") &amp; " Minutes"))))</f>
        <v/>
      </c>
      <c r="D275" s="9" t="str">
        <f t="shared" si="20"/>
        <v/>
      </c>
      <c r="E275" t="str">
        <f t="shared" si="21"/>
        <v/>
      </c>
      <c r="F275" s="9" t="str">
        <f t="shared" si="22"/>
        <v/>
      </c>
      <c r="G275" s="10"/>
      <c r="H275" s="10" t="str">
        <f>IF(A275="","",G275+Q275)</f>
        <v/>
      </c>
      <c r="M275" t="str">
        <f>IF(A275="","",IF(Q275="", "", ROUND(20 * EXP(LN(50/20) * ((HOUR(Q275)*60 + MINUTE(Q275) - 30) / 30)), 2) * R275 * (1 - S275)))</f>
        <v/>
      </c>
      <c r="P275" t="str" cm="1">
        <f t="array" aca="1" ref="P275" ca="1">IF(AND(A275&lt;&gt;"", C275&lt;&gt;""),
   SUMPRODUCT(--(TEXT(DATE(YEAR(TODAY()), MONTH(TODAY()), ROW(INDIRECT("1:" &amp; DAY(EOMONTH(TODAY(), 0))))), "dddd")=C275)),
   "")</f>
        <v/>
      </c>
      <c r="Q275" s="12"/>
      <c r="R275" s="11" t="str">
        <f t="shared" si="19"/>
        <v/>
      </c>
      <c r="U275" s="13"/>
    </row>
    <row r="276" spans="2:21" ht="18" x14ac:dyDescent="0.35">
      <c r="B276" t="str">
        <f>IF(A276="", "", IF(Q276="", "", IF(Q276=TIME(0,30,0), "Half Hour", IF(Q276=TIME(1,0,0), "Hour", TEXT(Q276*1440, "0") &amp; " Minutes"))))</f>
        <v/>
      </c>
      <c r="D276" s="9" t="str">
        <f t="shared" si="20"/>
        <v/>
      </c>
      <c r="E276" t="str">
        <f t="shared" si="21"/>
        <v/>
      </c>
      <c r="F276" s="9" t="str">
        <f t="shared" si="22"/>
        <v/>
      </c>
      <c r="G276" s="10"/>
      <c r="H276" s="10" t="str">
        <f>IF(A276="","",G276+Q276)</f>
        <v/>
      </c>
      <c r="M276" t="str">
        <f>IF(A276="","",IF(Q276="", "", ROUND(20 * EXP(LN(50/20) * ((HOUR(Q276)*60 + MINUTE(Q276) - 30) / 30)), 2) * R276 * (1 - S276)))</f>
        <v/>
      </c>
      <c r="P276" t="str" cm="1">
        <f t="array" aca="1" ref="P276" ca="1">IF(AND(A276&lt;&gt;"", C276&lt;&gt;""),
   SUMPRODUCT(--(TEXT(DATE(YEAR(TODAY()), MONTH(TODAY()), ROW(INDIRECT("1:" &amp; DAY(EOMONTH(TODAY(), 0))))), "dddd")=C276)),
   "")</f>
        <v/>
      </c>
      <c r="Q276" s="12"/>
      <c r="R276" s="11" t="str">
        <f t="shared" si="19"/>
        <v/>
      </c>
      <c r="U276" s="13"/>
    </row>
    <row r="277" spans="2:21" ht="18" x14ac:dyDescent="0.35">
      <c r="B277" t="str">
        <f>IF(A277="", "", IF(Q277="", "", IF(Q277=TIME(0,30,0), "Half Hour", IF(Q277=TIME(1,0,0), "Hour", TEXT(Q277*1440, "0") &amp; " Minutes"))))</f>
        <v/>
      </c>
      <c r="D277" s="9" t="str">
        <f t="shared" si="20"/>
        <v/>
      </c>
      <c r="E277" t="str">
        <f t="shared" si="21"/>
        <v/>
      </c>
      <c r="F277" s="9" t="str">
        <f t="shared" si="22"/>
        <v/>
      </c>
      <c r="G277" s="10"/>
      <c r="H277" s="10" t="str">
        <f>IF(A277="","",G277+Q277)</f>
        <v/>
      </c>
      <c r="M277" t="str">
        <f>IF(A277="","",IF(Q277="", "", ROUND(20 * EXP(LN(50/20) * ((HOUR(Q277)*60 + MINUTE(Q277) - 30) / 30)), 2) * R277 * (1 - S277)))</f>
        <v/>
      </c>
      <c r="P277" t="str" cm="1">
        <f t="array" aca="1" ref="P277" ca="1">IF(AND(A277&lt;&gt;"", C277&lt;&gt;""),
   SUMPRODUCT(--(TEXT(DATE(YEAR(TODAY()), MONTH(TODAY()), ROW(INDIRECT("1:" &amp; DAY(EOMONTH(TODAY(), 0))))), "dddd")=C277)),
   "")</f>
        <v/>
      </c>
      <c r="Q277" s="12"/>
      <c r="R277" s="11" t="str">
        <f t="shared" si="19"/>
        <v/>
      </c>
      <c r="U277" s="13"/>
    </row>
    <row r="278" spans="2:21" ht="18" x14ac:dyDescent="0.35">
      <c r="B278" t="str">
        <f>IF(A278="", "", IF(Q278="", "", IF(Q278=TIME(0,30,0), "Half Hour", IF(Q278=TIME(1,0,0), "Hour", TEXT(Q278*1440, "0") &amp; " Minutes"))))</f>
        <v/>
      </c>
      <c r="D278" s="9" t="str">
        <f t="shared" si="20"/>
        <v/>
      </c>
      <c r="E278" t="str">
        <f t="shared" si="21"/>
        <v/>
      </c>
      <c r="F278" s="9" t="str">
        <f t="shared" si="22"/>
        <v/>
      </c>
      <c r="G278" s="10"/>
      <c r="H278" s="10" t="str">
        <f>IF(A278="","",G278+Q278)</f>
        <v/>
      </c>
      <c r="M278" t="str">
        <f>IF(A278="","",IF(Q278="", "", ROUND(20 * EXP(LN(50/20) * ((HOUR(Q278)*60 + MINUTE(Q278) - 30) / 30)), 2) * R278 * (1 - S278)))</f>
        <v/>
      </c>
      <c r="P278" t="str" cm="1">
        <f t="array" aca="1" ref="P278" ca="1">IF(AND(A278&lt;&gt;"", C278&lt;&gt;""),
   SUMPRODUCT(--(TEXT(DATE(YEAR(TODAY()), MONTH(TODAY()), ROW(INDIRECT("1:" &amp; DAY(EOMONTH(TODAY(), 0))))), "dddd")=C278)),
   "")</f>
        <v/>
      </c>
      <c r="Q278" s="12"/>
      <c r="R278" s="11" t="str">
        <f t="shared" si="19"/>
        <v/>
      </c>
      <c r="U278" s="13"/>
    </row>
    <row r="279" spans="2:21" ht="18" x14ac:dyDescent="0.35">
      <c r="B279" t="str">
        <f>IF(A279="", "", IF(Q279="", "", IF(Q279=TIME(0,30,0), "Half Hour", IF(Q279=TIME(1,0,0), "Hour", TEXT(Q279*1440, "0") &amp; " Minutes"))))</f>
        <v/>
      </c>
      <c r="D279" s="9" t="str">
        <f t="shared" si="20"/>
        <v/>
      </c>
      <c r="E279" t="str">
        <f t="shared" si="21"/>
        <v/>
      </c>
      <c r="F279" s="9" t="str">
        <f t="shared" si="22"/>
        <v/>
      </c>
      <c r="G279" s="10"/>
      <c r="H279" s="10" t="str">
        <f>IF(A279="","",G279+Q279)</f>
        <v/>
      </c>
      <c r="M279" t="str">
        <f>IF(A279="","",IF(Q279="", "", ROUND(20 * EXP(LN(50/20) * ((HOUR(Q279)*60 + MINUTE(Q279) - 30) / 30)), 2) * R279 * (1 - S279)))</f>
        <v/>
      </c>
      <c r="P279" t="str" cm="1">
        <f t="array" aca="1" ref="P279" ca="1">IF(AND(A279&lt;&gt;"", C279&lt;&gt;""),
   SUMPRODUCT(--(TEXT(DATE(YEAR(TODAY()), MONTH(TODAY()), ROW(INDIRECT("1:" &amp; DAY(EOMONTH(TODAY(), 0))))), "dddd")=C279)),
   "")</f>
        <v/>
      </c>
      <c r="Q279" s="12"/>
      <c r="R279" s="11" t="str">
        <f t="shared" si="19"/>
        <v/>
      </c>
      <c r="U279" s="13"/>
    </row>
    <row r="280" spans="2:21" ht="18" x14ac:dyDescent="0.35">
      <c r="B280" t="str">
        <f>IF(A280="", "", IF(Q280="", "", IF(Q280=TIME(0,30,0), "Half Hour", IF(Q280=TIME(1,0,0), "Hour", TEXT(Q280*1440, "0") &amp; " Minutes"))))</f>
        <v/>
      </c>
      <c r="D280" s="9" t="str">
        <f t="shared" si="20"/>
        <v/>
      </c>
      <c r="E280" t="str">
        <f t="shared" si="21"/>
        <v/>
      </c>
      <c r="F280" s="9" t="str">
        <f t="shared" si="22"/>
        <v/>
      </c>
      <c r="G280" s="10"/>
      <c r="H280" s="10" t="str">
        <f>IF(A280="","",G280+Q280)</f>
        <v/>
      </c>
      <c r="M280" t="str">
        <f>IF(A280="","",IF(Q280="", "", ROUND(20 * EXP(LN(50/20) * ((HOUR(Q280)*60 + MINUTE(Q280) - 30) / 30)), 2) * R280 * (1 - S280)))</f>
        <v/>
      </c>
      <c r="P280" t="str" cm="1">
        <f t="array" aca="1" ref="P280" ca="1">IF(AND(A280&lt;&gt;"", C280&lt;&gt;""),
   SUMPRODUCT(--(TEXT(DATE(YEAR(TODAY()), MONTH(TODAY()), ROW(INDIRECT("1:" &amp; DAY(EOMONTH(TODAY(), 0))))), "dddd")=C280)),
   "")</f>
        <v/>
      </c>
      <c r="Q280" s="12"/>
      <c r="R280" s="11" t="str">
        <f t="shared" si="19"/>
        <v/>
      </c>
      <c r="U280" s="13"/>
    </row>
    <row r="281" spans="2:21" ht="18" x14ac:dyDescent="0.35">
      <c r="B281" t="str">
        <f>IF(A281="", "", IF(Q281="", "", IF(Q281=TIME(0,30,0), "Half Hour", IF(Q281=TIME(1,0,0), "Hour", TEXT(Q281*1440, "0") &amp; " Minutes"))))</f>
        <v/>
      </c>
      <c r="D281" s="9" t="str">
        <f t="shared" si="20"/>
        <v/>
      </c>
      <c r="E281" t="str">
        <f t="shared" si="21"/>
        <v/>
      </c>
      <c r="F281" s="9" t="str">
        <f t="shared" si="22"/>
        <v/>
      </c>
      <c r="G281" s="10"/>
      <c r="H281" s="10" t="str">
        <f>IF(A281="","",G281+Q281)</f>
        <v/>
      </c>
      <c r="M281" t="str">
        <f>IF(A281="","",IF(Q281="", "", ROUND(20 * EXP(LN(50/20) * ((HOUR(Q281)*60 + MINUTE(Q281) - 30) / 30)), 2) * R281 * (1 - S281)))</f>
        <v/>
      </c>
      <c r="P281" t="str" cm="1">
        <f t="array" aca="1" ref="P281" ca="1">IF(AND(A281&lt;&gt;"", C281&lt;&gt;""),
   SUMPRODUCT(--(TEXT(DATE(YEAR(TODAY()), MONTH(TODAY()), ROW(INDIRECT("1:" &amp; DAY(EOMONTH(TODAY(), 0))))), "dddd")=C281)),
   "")</f>
        <v/>
      </c>
      <c r="Q281" s="12"/>
      <c r="R281" s="11" t="str">
        <f t="shared" si="19"/>
        <v/>
      </c>
      <c r="U281" s="13"/>
    </row>
    <row r="282" spans="2:21" ht="18" x14ac:dyDescent="0.35">
      <c r="B282" t="str">
        <f>IF(A282="", "", IF(Q282="", "", IF(Q282=TIME(0,30,0), "Half Hour", IF(Q282=TIME(1,0,0), "Hour", TEXT(Q282*1440, "0") &amp; " Minutes"))))</f>
        <v/>
      </c>
      <c r="D282" s="9" t="str">
        <f t="shared" si="20"/>
        <v/>
      </c>
      <c r="E282" t="str">
        <f t="shared" si="21"/>
        <v/>
      </c>
      <c r="F282" s="9" t="str">
        <f t="shared" si="22"/>
        <v/>
      </c>
      <c r="G282" s="10"/>
      <c r="H282" s="10" t="str">
        <f>IF(A282="","",G282+Q282)</f>
        <v/>
      </c>
      <c r="M282" t="str">
        <f>IF(A282="","",IF(Q282="", "", ROUND(20 * EXP(LN(50/20) * ((HOUR(Q282)*60 + MINUTE(Q282) - 30) / 30)), 2) * R282 * (1 - S282)))</f>
        <v/>
      </c>
      <c r="P282" t="str" cm="1">
        <f t="array" aca="1" ref="P282" ca="1">IF(AND(A282&lt;&gt;"", C282&lt;&gt;""),
   SUMPRODUCT(--(TEXT(DATE(YEAR(TODAY()), MONTH(TODAY()), ROW(INDIRECT("1:" &amp; DAY(EOMONTH(TODAY(), 0))))), "dddd")=C282)),
   "")</f>
        <v/>
      </c>
      <c r="Q282" s="12"/>
      <c r="R282" s="11" t="str">
        <f t="shared" si="19"/>
        <v/>
      </c>
      <c r="U282" s="13"/>
    </row>
    <row r="283" spans="2:21" ht="18" x14ac:dyDescent="0.35">
      <c r="B283" t="str">
        <f>IF(A283="", "", IF(Q283="", "", IF(Q283=TIME(0,30,0), "Half Hour", IF(Q283=TIME(1,0,0), "Hour", TEXT(Q283*1440, "0") &amp; " Minutes"))))</f>
        <v/>
      </c>
      <c r="D283" s="9" t="str">
        <f t="shared" si="20"/>
        <v/>
      </c>
      <c r="E283" t="str">
        <f t="shared" si="21"/>
        <v/>
      </c>
      <c r="F283" s="9" t="str">
        <f t="shared" si="22"/>
        <v/>
      </c>
      <c r="G283" s="10"/>
      <c r="H283" s="10" t="str">
        <f>IF(A283="","",G283+Q283)</f>
        <v/>
      </c>
      <c r="M283" t="str">
        <f>IF(A283="","",IF(Q283="", "", ROUND(20 * EXP(LN(50/20) * ((HOUR(Q283)*60 + MINUTE(Q283) - 30) / 30)), 2) * R283 * (1 - S283)))</f>
        <v/>
      </c>
      <c r="P283" t="str" cm="1">
        <f t="array" aca="1" ref="P283" ca="1">IF(AND(A283&lt;&gt;"", C283&lt;&gt;""),
   SUMPRODUCT(--(TEXT(DATE(YEAR(TODAY()), MONTH(TODAY()), ROW(INDIRECT("1:" &amp; DAY(EOMONTH(TODAY(), 0))))), "dddd")=C283)),
   "")</f>
        <v/>
      </c>
      <c r="Q283" s="12"/>
      <c r="R283" s="11" t="str">
        <f t="shared" si="19"/>
        <v/>
      </c>
      <c r="U283" s="13"/>
    </row>
    <row r="284" spans="2:21" ht="18" x14ac:dyDescent="0.35">
      <c r="B284" t="str">
        <f>IF(A284="", "", IF(Q284="", "", IF(Q284=TIME(0,30,0), "Half Hour", IF(Q284=TIME(1,0,0), "Hour", TEXT(Q284*1440, "0") &amp; " Minutes"))))</f>
        <v/>
      </c>
      <c r="D284" s="9" t="str">
        <f t="shared" si="20"/>
        <v/>
      </c>
      <c r="E284" t="str">
        <f t="shared" si="21"/>
        <v/>
      </c>
      <c r="F284" s="9" t="str">
        <f t="shared" si="22"/>
        <v/>
      </c>
      <c r="G284" s="10"/>
      <c r="H284" s="10" t="str">
        <f>IF(A284="","",G284+Q284)</f>
        <v/>
      </c>
      <c r="M284" t="str">
        <f>IF(A284="","",IF(Q284="", "", ROUND(20 * EXP(LN(50/20) * ((HOUR(Q284)*60 + MINUTE(Q284) - 30) / 30)), 2) * R284 * (1 - S284)))</f>
        <v/>
      </c>
      <c r="P284" t="str" cm="1">
        <f t="array" aca="1" ref="P284" ca="1">IF(AND(A284&lt;&gt;"", C284&lt;&gt;""),
   SUMPRODUCT(--(TEXT(DATE(YEAR(TODAY()), MONTH(TODAY()), ROW(INDIRECT("1:" &amp; DAY(EOMONTH(TODAY(), 0))))), "dddd")=C284)),
   "")</f>
        <v/>
      </c>
      <c r="Q284" s="12"/>
      <c r="R284" s="11" t="str">
        <f t="shared" si="19"/>
        <v/>
      </c>
      <c r="U284" s="13"/>
    </row>
    <row r="285" spans="2:21" ht="18" x14ac:dyDescent="0.35">
      <c r="B285" t="str">
        <f>IF(A285="", "", IF(Q285="", "", IF(Q285=TIME(0,30,0), "Half Hour", IF(Q285=TIME(1,0,0), "Hour", TEXT(Q285*1440, "0") &amp; " Minutes"))))</f>
        <v/>
      </c>
      <c r="D285" s="9" t="str">
        <f t="shared" si="20"/>
        <v/>
      </c>
      <c r="E285" t="str">
        <f t="shared" si="21"/>
        <v/>
      </c>
      <c r="F285" s="9" t="str">
        <f t="shared" si="22"/>
        <v/>
      </c>
      <c r="G285" s="10"/>
      <c r="H285" s="10" t="str">
        <f>IF(A285="","",G285+Q285)</f>
        <v/>
      </c>
      <c r="M285" t="str">
        <f>IF(A285="","",IF(Q285="", "", ROUND(20 * EXP(LN(50/20) * ((HOUR(Q285)*60 + MINUTE(Q285) - 30) / 30)), 2) * R285 * (1 - S285)))</f>
        <v/>
      </c>
      <c r="P285" t="str" cm="1">
        <f t="array" aca="1" ref="P285" ca="1">IF(AND(A285&lt;&gt;"", C285&lt;&gt;""),
   SUMPRODUCT(--(TEXT(DATE(YEAR(TODAY()), MONTH(TODAY()), ROW(INDIRECT("1:" &amp; DAY(EOMONTH(TODAY(), 0))))), "dddd")=C285)),
   "")</f>
        <v/>
      </c>
      <c r="Q285" s="12"/>
      <c r="R285" s="11" t="str">
        <f t="shared" si="19"/>
        <v/>
      </c>
      <c r="U285" s="13"/>
    </row>
    <row r="286" spans="2:21" ht="18" x14ac:dyDescent="0.35">
      <c r="B286" t="str">
        <f>IF(A286="", "", IF(Q286="", "", IF(Q286=TIME(0,30,0), "Half Hour", IF(Q286=TIME(1,0,0), "Hour", TEXT(Q286*1440, "0") &amp; " Minutes"))))</f>
        <v/>
      </c>
      <c r="D286" s="9" t="str">
        <f t="shared" si="20"/>
        <v/>
      </c>
      <c r="E286" t="str">
        <f t="shared" si="21"/>
        <v/>
      </c>
      <c r="F286" s="9" t="str">
        <f t="shared" si="22"/>
        <v/>
      </c>
      <c r="G286" s="10"/>
      <c r="H286" s="10" t="str">
        <f>IF(A286="","",G286+Q286)</f>
        <v/>
      </c>
      <c r="M286" t="str">
        <f>IF(A286="","",IF(Q286="", "", ROUND(20 * EXP(LN(50/20) * ((HOUR(Q286)*60 + MINUTE(Q286) - 30) / 30)), 2) * R286 * (1 - S286)))</f>
        <v/>
      </c>
      <c r="P286" t="str" cm="1">
        <f t="array" aca="1" ref="P286" ca="1">IF(AND(A286&lt;&gt;"", C286&lt;&gt;""),
   SUMPRODUCT(--(TEXT(DATE(YEAR(TODAY()), MONTH(TODAY()), ROW(INDIRECT("1:" &amp; DAY(EOMONTH(TODAY(), 0))))), "dddd")=C286)),
   "")</f>
        <v/>
      </c>
      <c r="Q286" s="12"/>
      <c r="R286" s="11" t="str">
        <f t="shared" si="19"/>
        <v/>
      </c>
      <c r="U286" s="13"/>
    </row>
    <row r="287" spans="2:21" ht="18" x14ac:dyDescent="0.35">
      <c r="B287" t="str">
        <f>IF(A287="", "", IF(Q287="", "", IF(Q287=TIME(0,30,0), "Half Hour", IF(Q287=TIME(1,0,0), "Hour", TEXT(Q287*1440, "0") &amp; " Minutes"))))</f>
        <v/>
      </c>
      <c r="D287" s="9" t="str">
        <f t="shared" si="20"/>
        <v/>
      </c>
      <c r="E287" t="str">
        <f t="shared" si="21"/>
        <v/>
      </c>
      <c r="F287" s="9" t="str">
        <f t="shared" si="22"/>
        <v/>
      </c>
      <c r="G287" s="10"/>
      <c r="H287" s="10" t="str">
        <f>IF(A287="","",G287+Q287)</f>
        <v/>
      </c>
      <c r="M287" t="str">
        <f>IF(A287="","",IF(Q287="", "", ROUND(20 * EXP(LN(50/20) * ((HOUR(Q287)*60 + MINUTE(Q287) - 30) / 30)), 2) * R287 * (1 - S287)))</f>
        <v/>
      </c>
      <c r="P287" t="str" cm="1">
        <f t="array" aca="1" ref="P287" ca="1">IF(AND(A287&lt;&gt;"", C287&lt;&gt;""),
   SUMPRODUCT(--(TEXT(DATE(YEAR(TODAY()), MONTH(TODAY()), ROW(INDIRECT("1:" &amp; DAY(EOMONTH(TODAY(), 0))))), "dddd")=C287)),
   "")</f>
        <v/>
      </c>
      <c r="Q287" s="12"/>
      <c r="R287" s="11" t="str">
        <f t="shared" si="19"/>
        <v/>
      </c>
      <c r="U287" s="13"/>
    </row>
    <row r="288" spans="2:21" ht="18" x14ac:dyDescent="0.35">
      <c r="B288" t="str">
        <f>IF(A288="", "", IF(Q288="", "", IF(Q288=TIME(0,30,0), "Half Hour", IF(Q288=TIME(1,0,0), "Hour", TEXT(Q288*1440, "0") &amp; " Minutes"))))</f>
        <v/>
      </c>
      <c r="D288" s="9" t="str">
        <f t="shared" si="20"/>
        <v/>
      </c>
      <c r="E288" t="str">
        <f t="shared" si="21"/>
        <v/>
      </c>
      <c r="F288" s="9" t="str">
        <f t="shared" si="22"/>
        <v/>
      </c>
      <c r="G288" s="10"/>
      <c r="H288" s="10" t="str">
        <f>IF(A288="","",G288+Q288)</f>
        <v/>
      </c>
      <c r="M288" t="str">
        <f>IF(A288="","",IF(Q288="", "", ROUND(20 * EXP(LN(50/20) * ((HOUR(Q288)*60 + MINUTE(Q288) - 30) / 30)), 2) * R288 * (1 - S288)))</f>
        <v/>
      </c>
      <c r="P288" t="str" cm="1">
        <f t="array" aca="1" ref="P288" ca="1">IF(AND(A288&lt;&gt;"", C288&lt;&gt;""),
   SUMPRODUCT(--(TEXT(DATE(YEAR(TODAY()), MONTH(TODAY()), ROW(INDIRECT("1:" &amp; DAY(EOMONTH(TODAY(), 0))))), "dddd")=C288)),
   "")</f>
        <v/>
      </c>
      <c r="Q288" s="12"/>
      <c r="R288" s="11" t="str">
        <f t="shared" si="19"/>
        <v/>
      </c>
      <c r="U288" s="13"/>
    </row>
    <row r="289" spans="2:21" ht="18" x14ac:dyDescent="0.35">
      <c r="B289" t="str">
        <f>IF(A289="", "", IF(Q289="", "", IF(Q289=TIME(0,30,0), "Half Hour", IF(Q289=TIME(1,0,0), "Hour", TEXT(Q289*1440, "0") &amp; " Minutes"))))</f>
        <v/>
      </c>
      <c r="D289" s="9" t="str">
        <f t="shared" si="20"/>
        <v/>
      </c>
      <c r="E289" t="str">
        <f t="shared" si="21"/>
        <v/>
      </c>
      <c r="F289" s="9" t="str">
        <f t="shared" si="22"/>
        <v/>
      </c>
      <c r="G289" s="10"/>
      <c r="H289" s="10" t="str">
        <f>IF(A289="","",G289+Q289)</f>
        <v/>
      </c>
      <c r="M289" t="str">
        <f>IF(A289="","",IF(Q289="", "", ROUND(20 * EXP(LN(50/20) * ((HOUR(Q289)*60 + MINUTE(Q289) - 30) / 30)), 2) * R289 * (1 - S289)))</f>
        <v/>
      </c>
      <c r="P289" t="str" cm="1">
        <f t="array" aca="1" ref="P289" ca="1">IF(AND(A289&lt;&gt;"", C289&lt;&gt;""),
   SUMPRODUCT(--(TEXT(DATE(YEAR(TODAY()), MONTH(TODAY()), ROW(INDIRECT("1:" &amp; DAY(EOMONTH(TODAY(), 0))))), "dddd")=C289)),
   "")</f>
        <v/>
      </c>
      <c r="Q289" s="12"/>
      <c r="R289" s="11" t="str">
        <f t="shared" si="19"/>
        <v/>
      </c>
      <c r="U289" s="13"/>
    </row>
    <row r="290" spans="2:21" ht="18" x14ac:dyDescent="0.35">
      <c r="B290" t="str">
        <f>IF(A290="", "", IF(Q290="", "", IF(Q290=TIME(0,30,0), "Half Hour", IF(Q290=TIME(1,0,0), "Hour", TEXT(Q290*1440, "0") &amp; " Minutes"))))</f>
        <v/>
      </c>
      <c r="D290" s="9" t="str">
        <f t="shared" si="20"/>
        <v/>
      </c>
      <c r="E290" t="str">
        <f t="shared" si="21"/>
        <v/>
      </c>
      <c r="F290" s="9" t="str">
        <f t="shared" si="22"/>
        <v/>
      </c>
      <c r="G290" s="10"/>
      <c r="H290" s="10" t="str">
        <f>IF(A290="","",G290+Q290)</f>
        <v/>
      </c>
      <c r="M290" t="str">
        <f>IF(A290="","",IF(Q290="", "", ROUND(20 * EXP(LN(50/20) * ((HOUR(Q290)*60 + MINUTE(Q290) - 30) / 30)), 2) * R290 * (1 - S290)))</f>
        <v/>
      </c>
      <c r="P290" t="str" cm="1">
        <f t="array" aca="1" ref="P290" ca="1">IF(AND(A290&lt;&gt;"", C290&lt;&gt;""),
   SUMPRODUCT(--(TEXT(DATE(YEAR(TODAY()), MONTH(TODAY()), ROW(INDIRECT("1:" &amp; DAY(EOMONTH(TODAY(), 0))))), "dddd")=C290)),
   "")</f>
        <v/>
      </c>
      <c r="Q290" s="12"/>
      <c r="R290" s="11" t="str">
        <f t="shared" si="19"/>
        <v/>
      </c>
      <c r="U290" s="13"/>
    </row>
    <row r="291" spans="2:21" ht="18" x14ac:dyDescent="0.35">
      <c r="B291" t="str">
        <f>IF(A291="", "", IF(Q291="", "", IF(Q291=TIME(0,30,0), "Half Hour", IF(Q291=TIME(1,0,0), "Hour", TEXT(Q291*1440, "0") &amp; " Minutes"))))</f>
        <v/>
      </c>
      <c r="D291" s="9" t="str">
        <f t="shared" si="20"/>
        <v/>
      </c>
      <c r="E291" t="str">
        <f t="shared" si="21"/>
        <v/>
      </c>
      <c r="F291" s="9" t="str">
        <f t="shared" si="22"/>
        <v/>
      </c>
      <c r="G291" s="10"/>
      <c r="H291" s="10" t="str">
        <f>IF(A291="","",G291+Q291)</f>
        <v/>
      </c>
      <c r="M291" t="str">
        <f>IF(A291="","",IF(Q291="", "", ROUND(20 * EXP(LN(50/20) * ((HOUR(Q291)*60 + MINUTE(Q291) - 30) / 30)), 2) * R291 * (1 - S291)))</f>
        <v/>
      </c>
      <c r="P291" t="str" cm="1">
        <f t="array" aca="1" ref="P291" ca="1">IF(AND(A291&lt;&gt;"", C291&lt;&gt;""),
   SUMPRODUCT(--(TEXT(DATE(YEAR(TODAY()), MONTH(TODAY()), ROW(INDIRECT("1:" &amp; DAY(EOMONTH(TODAY(), 0))))), "dddd")=C291)),
   "")</f>
        <v/>
      </c>
      <c r="Q291" s="12"/>
      <c r="R291" s="11" t="str">
        <f t="shared" si="19"/>
        <v/>
      </c>
      <c r="U291" s="13"/>
    </row>
    <row r="292" spans="2:21" ht="18" x14ac:dyDescent="0.35">
      <c r="B292" t="str">
        <f>IF(A292="", "", IF(Q292="", "", IF(Q292=TIME(0,30,0), "Half Hour", IF(Q292=TIME(1,0,0), "Hour", TEXT(Q292*1440, "0") &amp; " Minutes"))))</f>
        <v/>
      </c>
      <c r="D292" s="9" t="str">
        <f t="shared" si="20"/>
        <v/>
      </c>
      <c r="E292" t="str">
        <f t="shared" si="21"/>
        <v/>
      </c>
      <c r="F292" s="9" t="str">
        <f t="shared" si="22"/>
        <v/>
      </c>
      <c r="G292" s="10"/>
      <c r="H292" s="10" t="str">
        <f>IF(A292="","",G292+Q292)</f>
        <v/>
      </c>
      <c r="M292" t="str">
        <f>IF(A292="","",IF(Q292="", "", ROUND(20 * EXP(LN(50/20) * ((HOUR(Q292)*60 + MINUTE(Q292) - 30) / 30)), 2) * R292 * (1 - S292)))</f>
        <v/>
      </c>
      <c r="P292" t="str" cm="1">
        <f t="array" aca="1" ref="P292" ca="1">IF(AND(A292&lt;&gt;"", C292&lt;&gt;""),
   SUMPRODUCT(--(TEXT(DATE(YEAR(TODAY()), MONTH(TODAY()), ROW(INDIRECT("1:" &amp; DAY(EOMONTH(TODAY(), 0))))), "dddd")=C292)),
   "")</f>
        <v/>
      </c>
      <c r="Q292" s="12"/>
      <c r="R292" s="11" t="str">
        <f t="shared" si="19"/>
        <v/>
      </c>
      <c r="U292" s="13"/>
    </row>
    <row r="293" spans="2:21" ht="18" x14ac:dyDescent="0.35">
      <c r="B293" t="str">
        <f>IF(A293="", "", IF(Q293="", "", IF(Q293=TIME(0,30,0), "Half Hour", IF(Q293=TIME(1,0,0), "Hour", TEXT(Q293*1440, "0") &amp; " Minutes"))))</f>
        <v/>
      </c>
      <c r="D293" s="9" t="str">
        <f t="shared" si="20"/>
        <v/>
      </c>
      <c r="E293" t="str">
        <f t="shared" si="21"/>
        <v/>
      </c>
      <c r="F293" s="9" t="str">
        <f t="shared" si="22"/>
        <v/>
      </c>
      <c r="G293" s="10"/>
      <c r="H293" s="10" t="str">
        <f>IF(A293="","",G293+Q293)</f>
        <v/>
      </c>
      <c r="M293" t="str">
        <f>IF(A293="","",IF(Q293="", "", ROUND(20 * EXP(LN(50/20) * ((HOUR(Q293)*60 + MINUTE(Q293) - 30) / 30)), 2) * R293 * (1 - S293)))</f>
        <v/>
      </c>
      <c r="P293" t="str" cm="1">
        <f t="array" aca="1" ref="P293" ca="1">IF(AND(A293&lt;&gt;"", C293&lt;&gt;""),
   SUMPRODUCT(--(TEXT(DATE(YEAR(TODAY()), MONTH(TODAY()), ROW(INDIRECT("1:" &amp; DAY(EOMONTH(TODAY(), 0))))), "dddd")=C293)),
   "")</f>
        <v/>
      </c>
      <c r="Q293" s="12"/>
      <c r="R293" s="11" t="str">
        <f t="shared" si="19"/>
        <v/>
      </c>
      <c r="U293" s="13"/>
    </row>
    <row r="294" spans="2:21" ht="18" x14ac:dyDescent="0.35">
      <c r="B294" t="str">
        <f>IF(A294="", "", IF(Q294="", "", IF(Q294=TIME(0,30,0), "Half Hour", IF(Q294=TIME(1,0,0), "Hour", TEXT(Q294*1440, "0") &amp; " Minutes"))))</f>
        <v/>
      </c>
      <c r="D294" s="9" t="str">
        <f t="shared" si="20"/>
        <v/>
      </c>
      <c r="E294" t="str">
        <f t="shared" si="21"/>
        <v/>
      </c>
      <c r="F294" s="9" t="str">
        <f t="shared" si="22"/>
        <v/>
      </c>
      <c r="G294" s="10"/>
      <c r="H294" s="10" t="str">
        <f>IF(A294="","",G294+Q294)</f>
        <v/>
      </c>
      <c r="M294" t="str">
        <f>IF(A294="","",IF(Q294="", "", ROUND(20 * EXP(LN(50/20) * ((HOUR(Q294)*60 + MINUTE(Q294) - 30) / 30)), 2) * R294 * (1 - S294)))</f>
        <v/>
      </c>
      <c r="P294" t="str" cm="1">
        <f t="array" aca="1" ref="P294" ca="1">IF(AND(A294&lt;&gt;"", C294&lt;&gt;""),
   SUMPRODUCT(--(TEXT(DATE(YEAR(TODAY()), MONTH(TODAY()), ROW(INDIRECT("1:" &amp; DAY(EOMONTH(TODAY(), 0))))), "dddd")=C294)),
   "")</f>
        <v/>
      </c>
      <c r="Q294" s="12"/>
      <c r="R294" s="11" t="str">
        <f t="shared" si="19"/>
        <v/>
      </c>
      <c r="U294" s="13"/>
    </row>
    <row r="295" spans="2:21" ht="18" x14ac:dyDescent="0.35">
      <c r="B295" t="str">
        <f>IF(A295="", "", IF(Q295="", "", IF(Q295=TIME(0,30,0), "Half Hour", IF(Q295=TIME(1,0,0), "Hour", TEXT(Q295*1440, "0") &amp; " Minutes"))))</f>
        <v/>
      </c>
      <c r="D295" s="9" t="str">
        <f t="shared" si="20"/>
        <v/>
      </c>
      <c r="E295" t="str">
        <f t="shared" si="21"/>
        <v/>
      </c>
      <c r="F295" s="9" t="str">
        <f t="shared" si="22"/>
        <v/>
      </c>
      <c r="G295" s="10"/>
      <c r="H295" s="10" t="str">
        <f>IF(A295="","",G295+Q295)</f>
        <v/>
      </c>
      <c r="M295" t="str">
        <f>IF(A295="","",IF(Q295="", "", ROUND(20 * EXP(LN(50/20) * ((HOUR(Q295)*60 + MINUTE(Q295) - 30) / 30)), 2) * R295 * (1 - S295)))</f>
        <v/>
      </c>
      <c r="P295" t="str" cm="1">
        <f t="array" aca="1" ref="P295" ca="1">IF(AND(A295&lt;&gt;"", C295&lt;&gt;""),
   SUMPRODUCT(--(TEXT(DATE(YEAR(TODAY()), MONTH(TODAY()), ROW(INDIRECT("1:" &amp; DAY(EOMONTH(TODAY(), 0))))), "dddd")=C295)),
   "")</f>
        <v/>
      </c>
      <c r="Q295" s="12"/>
      <c r="R295" s="11" t="str">
        <f t="shared" si="19"/>
        <v/>
      </c>
      <c r="U295" s="13"/>
    </row>
    <row r="296" spans="2:21" ht="18" x14ac:dyDescent="0.35">
      <c r="B296" t="str">
        <f>IF(A296="", "", IF(Q296="", "", IF(Q296=TIME(0,30,0), "Half Hour", IF(Q296=TIME(1,0,0), "Hour", TEXT(Q296*1440, "0") &amp; " Minutes"))))</f>
        <v/>
      </c>
      <c r="D296" s="9" t="str">
        <f t="shared" si="20"/>
        <v/>
      </c>
      <c r="E296" t="str">
        <f t="shared" si="21"/>
        <v/>
      </c>
      <c r="F296" s="9" t="str">
        <f t="shared" si="22"/>
        <v/>
      </c>
      <c r="G296" s="10"/>
      <c r="H296" s="10" t="str">
        <f>IF(A296="","",G296+Q296)</f>
        <v/>
      </c>
      <c r="M296" t="str">
        <f>IF(A296="","",IF(Q296="", "", ROUND(20 * EXP(LN(50/20) * ((HOUR(Q296)*60 + MINUTE(Q296) - 30) / 30)), 2) * R296 * (1 - S296)))</f>
        <v/>
      </c>
      <c r="P296" t="str" cm="1">
        <f t="array" aca="1" ref="P296" ca="1">IF(AND(A296&lt;&gt;"", C296&lt;&gt;""),
   SUMPRODUCT(--(TEXT(DATE(YEAR(TODAY()), MONTH(TODAY()), ROW(INDIRECT("1:" &amp; DAY(EOMONTH(TODAY(), 0))))), "dddd")=C296)),
   "")</f>
        <v/>
      </c>
      <c r="Q296" s="12"/>
      <c r="R296" s="11" t="str">
        <f t="shared" si="19"/>
        <v/>
      </c>
      <c r="U296" s="13"/>
    </row>
    <row r="297" spans="2:21" ht="18" x14ac:dyDescent="0.35">
      <c r="B297" t="str">
        <f>IF(A297="", "", IF(Q297="", "", IF(Q297=TIME(0,30,0), "Half Hour", IF(Q297=TIME(1,0,0), "Hour", TEXT(Q297*1440, "0") &amp; " Minutes"))))</f>
        <v/>
      </c>
      <c r="D297" s="9" t="str">
        <f t="shared" si="20"/>
        <v/>
      </c>
      <c r="E297" t="str">
        <f t="shared" si="21"/>
        <v/>
      </c>
      <c r="F297" s="9" t="str">
        <f t="shared" si="22"/>
        <v/>
      </c>
      <c r="G297" s="10"/>
      <c r="H297" s="10" t="str">
        <f>IF(A297="","",G297+Q297)</f>
        <v/>
      </c>
      <c r="M297" t="str">
        <f>IF(A297="","",IF(Q297="", "", ROUND(20 * EXP(LN(50/20) * ((HOUR(Q297)*60 + MINUTE(Q297) - 30) / 30)), 2) * R297 * (1 - S297)))</f>
        <v/>
      </c>
      <c r="P297" t="str" cm="1">
        <f t="array" aca="1" ref="P297" ca="1">IF(AND(A297&lt;&gt;"", C297&lt;&gt;""),
   SUMPRODUCT(--(TEXT(DATE(YEAR(TODAY()), MONTH(TODAY()), ROW(INDIRECT("1:" &amp; DAY(EOMONTH(TODAY(), 0))))), "dddd")=C297)),
   "")</f>
        <v/>
      </c>
      <c r="Q297" s="12"/>
      <c r="R297" s="11" t="str">
        <f t="shared" si="19"/>
        <v/>
      </c>
      <c r="U297" s="13"/>
    </row>
    <row r="298" spans="2:21" ht="18" x14ac:dyDescent="0.35">
      <c r="B298" t="str">
        <f>IF(A298="", "", IF(Q298="", "", IF(Q298=TIME(0,30,0), "Half Hour", IF(Q298=TIME(1,0,0), "Hour", TEXT(Q298*1440, "0") &amp; " Minutes"))))</f>
        <v/>
      </c>
      <c r="D298" s="9" t="str">
        <f t="shared" si="20"/>
        <v/>
      </c>
      <c r="E298" t="str">
        <f t="shared" si="21"/>
        <v/>
      </c>
      <c r="F298" s="9" t="str">
        <f t="shared" si="22"/>
        <v/>
      </c>
      <c r="G298" s="10"/>
      <c r="H298" s="10" t="str">
        <f>IF(A298="","",G298+Q298)</f>
        <v/>
      </c>
      <c r="M298" t="str">
        <f>IF(A298="","",IF(Q298="", "", ROUND(20 * EXP(LN(50/20) * ((HOUR(Q298)*60 + MINUTE(Q298) - 30) / 30)), 2) * R298 * (1 - S298)))</f>
        <v/>
      </c>
      <c r="P298" t="str" cm="1">
        <f t="array" aca="1" ref="P298" ca="1">IF(AND(A298&lt;&gt;"", C298&lt;&gt;""),
   SUMPRODUCT(--(TEXT(DATE(YEAR(TODAY()), MONTH(TODAY()), ROW(INDIRECT("1:" &amp; DAY(EOMONTH(TODAY(), 0))))), "dddd")=C298)),
   "")</f>
        <v/>
      </c>
      <c r="Q298" s="12"/>
      <c r="R298" s="11" t="str">
        <f t="shared" si="19"/>
        <v/>
      </c>
      <c r="U298" s="13"/>
    </row>
    <row r="299" spans="2:21" ht="18" x14ac:dyDescent="0.35">
      <c r="B299" t="str">
        <f>IF(A299="", "", IF(Q299="", "", IF(Q299=TIME(0,30,0), "Half Hour", IF(Q299=TIME(1,0,0), "Hour", TEXT(Q299*1440, "0") &amp; " Minutes"))))</f>
        <v/>
      </c>
      <c r="D299" s="9" t="str">
        <f t="shared" si="20"/>
        <v/>
      </c>
      <c r="E299" t="str">
        <f t="shared" si="21"/>
        <v/>
      </c>
      <c r="F299" s="9" t="str">
        <f t="shared" si="22"/>
        <v/>
      </c>
      <c r="G299" s="10"/>
      <c r="H299" s="10" t="str">
        <f>IF(A299="","",G299+Q299)</f>
        <v/>
      </c>
      <c r="M299" t="str">
        <f>IF(A299="","",IF(Q299="", "", ROUND(20 * EXP(LN(50/20) * ((HOUR(Q299)*60 + MINUTE(Q299) - 30) / 30)), 2) * R299 * (1 - S299)))</f>
        <v/>
      </c>
      <c r="P299" t="str" cm="1">
        <f t="array" aca="1" ref="P299" ca="1">IF(AND(A299&lt;&gt;"", C299&lt;&gt;""),
   SUMPRODUCT(--(TEXT(DATE(YEAR(TODAY()), MONTH(TODAY()), ROW(INDIRECT("1:" &amp; DAY(EOMONTH(TODAY(), 0))))), "dddd")=C299)),
   "")</f>
        <v/>
      </c>
      <c r="Q299" s="12"/>
      <c r="R299" s="11" t="str">
        <f t="shared" si="19"/>
        <v/>
      </c>
      <c r="U299" s="13"/>
    </row>
    <row r="300" spans="2:21" ht="18" x14ac:dyDescent="0.35">
      <c r="B300" t="str">
        <f>IF(A300="", "", IF(Q300="", "", IF(Q300=TIME(0,30,0), "Half Hour", IF(Q300=TIME(1,0,0), "Hour", TEXT(Q300*1440, "0") &amp; " Minutes"))))</f>
        <v/>
      </c>
      <c r="D300" s="9" t="str">
        <f t="shared" si="20"/>
        <v/>
      </c>
      <c r="E300" t="str">
        <f t="shared" si="21"/>
        <v/>
      </c>
      <c r="F300" s="9" t="str">
        <f t="shared" si="22"/>
        <v/>
      </c>
      <c r="G300" s="10"/>
      <c r="H300" s="10" t="str">
        <f>IF(A300="","",G300+Q300)</f>
        <v/>
      </c>
      <c r="M300" t="str">
        <f>IF(A300="","",IF(Q300="", "", ROUND(20 * EXP(LN(50/20) * ((HOUR(Q300)*60 + MINUTE(Q300) - 30) / 30)), 2) * R300 * (1 - S300)))</f>
        <v/>
      </c>
      <c r="P300" t="str" cm="1">
        <f t="array" aca="1" ref="P300" ca="1">IF(AND(A300&lt;&gt;"", C300&lt;&gt;""),
   SUMPRODUCT(--(TEXT(DATE(YEAR(TODAY()), MONTH(TODAY()), ROW(INDIRECT("1:" &amp; DAY(EOMONTH(TODAY(), 0))))), "dddd")=C300)),
   "")</f>
        <v/>
      </c>
      <c r="Q300" s="12"/>
      <c r="R300" s="11" t="str">
        <f t="shared" si="19"/>
        <v/>
      </c>
      <c r="U300" s="13"/>
    </row>
    <row r="301" spans="2:21" ht="18" x14ac:dyDescent="0.35">
      <c r="B301" t="str">
        <f>IF(A301="", "", IF(Q301="", "", IF(Q301=TIME(0,30,0), "Half Hour", IF(Q301=TIME(1,0,0), "Hour", TEXT(Q301*1440, "0") &amp; " Minutes"))))</f>
        <v/>
      </c>
      <c r="D301" s="9" t="str">
        <f t="shared" si="20"/>
        <v/>
      </c>
      <c r="E301" t="str">
        <f t="shared" si="21"/>
        <v/>
      </c>
      <c r="F301" s="9" t="str">
        <f t="shared" si="22"/>
        <v/>
      </c>
      <c r="G301" s="10"/>
      <c r="H301" s="10" t="str">
        <f>IF(A301="","",G301+Q301)</f>
        <v/>
      </c>
      <c r="M301" t="str">
        <f>IF(A301="","",IF(Q301="", "", ROUND(20 * EXP(LN(50/20) * ((HOUR(Q301)*60 + MINUTE(Q301) - 30) / 30)), 2) * R301 * (1 - S301)))</f>
        <v/>
      </c>
      <c r="P301" t="str" cm="1">
        <f t="array" aca="1" ref="P301" ca="1">IF(AND(A301&lt;&gt;"", C301&lt;&gt;""),
   SUMPRODUCT(--(TEXT(DATE(YEAR(TODAY()), MONTH(TODAY()), ROW(INDIRECT("1:" &amp; DAY(EOMONTH(TODAY(), 0))))), "dddd")=C301)),
   "")</f>
        <v/>
      </c>
      <c r="Q301" s="12"/>
      <c r="R301" s="11" t="str">
        <f t="shared" si="19"/>
        <v/>
      </c>
      <c r="U301" s="13"/>
    </row>
    <row r="302" spans="2:21" ht="18" x14ac:dyDescent="0.35">
      <c r="B302" t="str">
        <f>IF(A302="", "", IF(Q302="", "", IF(Q302=TIME(0,30,0), "Half Hour", IF(Q302=TIME(1,0,0), "Hour", TEXT(Q302*1440, "0") &amp; " Minutes"))))</f>
        <v/>
      </c>
      <c r="D302" s="9" t="str">
        <f t="shared" si="20"/>
        <v/>
      </c>
      <c r="E302" t="str">
        <f t="shared" si="21"/>
        <v/>
      </c>
      <c r="F302" s="9" t="str">
        <f t="shared" si="22"/>
        <v/>
      </c>
      <c r="G302" s="10"/>
      <c r="H302" s="10" t="str">
        <f>IF(A302="","",G302+Q302)</f>
        <v/>
      </c>
      <c r="M302" t="str">
        <f>IF(A302="","",IF(Q302="", "", ROUND(20 * EXP(LN(50/20) * ((HOUR(Q302)*60 + MINUTE(Q302) - 30) / 30)), 2) * R302 * (1 - S302)))</f>
        <v/>
      </c>
      <c r="P302" t="str" cm="1">
        <f t="array" aca="1" ref="P302" ca="1">IF(AND(A302&lt;&gt;"", C302&lt;&gt;""),
   SUMPRODUCT(--(TEXT(DATE(YEAR(TODAY()), MONTH(TODAY()), ROW(INDIRECT("1:" &amp; DAY(EOMONTH(TODAY(), 0))))), "dddd")=C302)),
   "")</f>
        <v/>
      </c>
      <c r="Q302" s="12"/>
      <c r="R302" s="11" t="str">
        <f t="shared" si="19"/>
        <v/>
      </c>
      <c r="U302" s="13"/>
    </row>
    <row r="303" spans="2:21" ht="18" x14ac:dyDescent="0.35">
      <c r="B303" t="str">
        <f>IF(A303="", "", IF(Q303="", "", IF(Q303=TIME(0,30,0), "Half Hour", IF(Q303=TIME(1,0,0), "Hour", TEXT(Q303*1440, "0") &amp; " Minutes"))))</f>
        <v/>
      </c>
      <c r="D303" s="9" t="str">
        <f t="shared" si="20"/>
        <v/>
      </c>
      <c r="E303" t="str">
        <f t="shared" si="21"/>
        <v/>
      </c>
      <c r="F303" s="9" t="str">
        <f t="shared" si="22"/>
        <v/>
      </c>
      <c r="G303" s="10"/>
      <c r="H303" s="10" t="str">
        <f>IF(A303="","",G303+Q303)</f>
        <v/>
      </c>
      <c r="M303" t="str">
        <f>IF(A303="","",IF(Q303="", "", ROUND(20 * EXP(LN(50/20) * ((HOUR(Q303)*60 + MINUTE(Q303) - 30) / 30)), 2) * R303 * (1 - S303)))</f>
        <v/>
      </c>
      <c r="P303" t="str" cm="1">
        <f t="array" aca="1" ref="P303" ca="1">IF(AND(A303&lt;&gt;"", C303&lt;&gt;""),
   SUMPRODUCT(--(TEXT(DATE(YEAR(TODAY()), MONTH(TODAY()), ROW(INDIRECT("1:" &amp; DAY(EOMONTH(TODAY(), 0))))), "dddd")=C303)),
   "")</f>
        <v/>
      </c>
      <c r="Q303" s="12"/>
      <c r="R303" s="11" t="str">
        <f t="shared" si="19"/>
        <v/>
      </c>
      <c r="U303" s="13"/>
    </row>
    <row r="304" spans="2:21" ht="18" x14ac:dyDescent="0.35">
      <c r="B304" t="str">
        <f>IF(A304="", "", IF(Q304="", "", IF(Q304=TIME(0,30,0), "Half Hour", IF(Q304=TIME(1,0,0), "Hour", TEXT(Q304*1440, "0") &amp; " Minutes"))))</f>
        <v/>
      </c>
      <c r="D304" s="9" t="str">
        <f t="shared" si="20"/>
        <v/>
      </c>
      <c r="E304" t="str">
        <f t="shared" si="21"/>
        <v/>
      </c>
      <c r="F304" s="9" t="str">
        <f t="shared" si="22"/>
        <v/>
      </c>
      <c r="G304" s="10"/>
      <c r="H304" s="10" t="str">
        <f>IF(A304="","",G304+Q304)</f>
        <v/>
      </c>
      <c r="M304" t="str">
        <f>IF(A304="","",IF(Q304="", "", ROUND(20 * EXP(LN(50/20) * ((HOUR(Q304)*60 + MINUTE(Q304) - 30) / 30)), 2) * R304 * (1 - S304)))</f>
        <v/>
      </c>
      <c r="P304" t="str" cm="1">
        <f t="array" aca="1" ref="P304" ca="1">IF(AND(A304&lt;&gt;"", C304&lt;&gt;""),
   SUMPRODUCT(--(TEXT(DATE(YEAR(TODAY()), MONTH(TODAY()), ROW(INDIRECT("1:" &amp; DAY(EOMONTH(TODAY(), 0))))), "dddd")=C304)),
   "")</f>
        <v/>
      </c>
      <c r="Q304" s="12"/>
      <c r="R304" s="11" t="str">
        <f t="shared" si="19"/>
        <v/>
      </c>
      <c r="U304" s="13"/>
    </row>
    <row r="305" spans="2:21" ht="18" x14ac:dyDescent="0.35">
      <c r="B305" t="str">
        <f>IF(A305="", "", IF(Q305="", "", IF(Q305=TIME(0,30,0), "Half Hour", IF(Q305=TIME(1,0,0), "Hour", TEXT(Q305*1440, "0") &amp; " Minutes"))))</f>
        <v/>
      </c>
      <c r="D305" s="9" t="str">
        <f t="shared" si="20"/>
        <v/>
      </c>
      <c r="E305" t="str">
        <f t="shared" si="21"/>
        <v/>
      </c>
      <c r="F305" s="9" t="str">
        <f t="shared" si="22"/>
        <v/>
      </c>
      <c r="G305" s="10"/>
      <c r="H305" s="10" t="str">
        <f>IF(A305="","",G305+Q305)</f>
        <v/>
      </c>
      <c r="M305" t="str">
        <f>IF(A305="","",IF(Q305="", "", ROUND(20 * EXP(LN(50/20) * ((HOUR(Q305)*60 + MINUTE(Q305) - 30) / 30)), 2) * R305 * (1 - S305)))</f>
        <v/>
      </c>
      <c r="P305" t="str" cm="1">
        <f t="array" aca="1" ref="P305" ca="1">IF(AND(A305&lt;&gt;"", C305&lt;&gt;""),
   SUMPRODUCT(--(TEXT(DATE(YEAR(TODAY()), MONTH(TODAY()), ROW(INDIRECT("1:" &amp; DAY(EOMONTH(TODAY(), 0))))), "dddd")=C305)),
   "")</f>
        <v/>
      </c>
      <c r="Q305" s="12"/>
      <c r="R305" s="11" t="str">
        <f t="shared" si="19"/>
        <v/>
      </c>
      <c r="U305" s="13"/>
    </row>
    <row r="306" spans="2:21" ht="18" x14ac:dyDescent="0.35">
      <c r="B306" t="str">
        <f>IF(A306="", "", IF(Q306="", "", IF(Q306=TIME(0,30,0), "Half Hour", IF(Q306=TIME(1,0,0), "Hour", TEXT(Q306*1440, "0") &amp; " Minutes"))))</f>
        <v/>
      </c>
      <c r="D306" s="9" t="str">
        <f t="shared" si="20"/>
        <v/>
      </c>
      <c r="E306" t="str">
        <f t="shared" si="21"/>
        <v/>
      </c>
      <c r="F306" s="9" t="str">
        <f t="shared" si="22"/>
        <v/>
      </c>
      <c r="G306" s="10"/>
      <c r="H306" s="10" t="str">
        <f>IF(A306="","",G306+Q306)</f>
        <v/>
      </c>
      <c r="M306" t="str">
        <f>IF(A306="","",IF(Q306="", "", ROUND(20 * EXP(LN(50/20) * ((HOUR(Q306)*60 + MINUTE(Q306) - 30) / 30)), 2) * R306 * (1 - S306)))</f>
        <v/>
      </c>
      <c r="P306" t="str" cm="1">
        <f t="array" aca="1" ref="P306" ca="1">IF(AND(A306&lt;&gt;"", C306&lt;&gt;""),
   SUMPRODUCT(--(TEXT(DATE(YEAR(TODAY()), MONTH(TODAY()), ROW(INDIRECT("1:" &amp; DAY(EOMONTH(TODAY(), 0))))), "dddd")=C306)),
   "")</f>
        <v/>
      </c>
      <c r="Q306" s="12"/>
      <c r="R306" s="11" t="str">
        <f t="shared" si="19"/>
        <v/>
      </c>
      <c r="U306" s="13"/>
    </row>
    <row r="307" spans="2:21" ht="18" x14ac:dyDescent="0.35">
      <c r="B307" t="str">
        <f>IF(A307="", "", IF(Q307="", "", IF(Q307=TIME(0,30,0), "Half Hour", IF(Q307=TIME(1,0,0), "Hour", TEXT(Q307*1440, "0") &amp; " Minutes"))))</f>
        <v/>
      </c>
      <c r="D307" s="9" t="str">
        <f t="shared" si="20"/>
        <v/>
      </c>
      <c r="E307" t="str">
        <f t="shared" si="21"/>
        <v/>
      </c>
      <c r="F307" s="9" t="str">
        <f t="shared" si="22"/>
        <v/>
      </c>
      <c r="G307" s="10"/>
      <c r="H307" s="10" t="str">
        <f>IF(A307="","",G307+Q307)</f>
        <v/>
      </c>
      <c r="M307" t="str">
        <f>IF(A307="","",IF(Q307="", "", ROUND(20 * EXP(LN(50/20) * ((HOUR(Q307)*60 + MINUTE(Q307) - 30) / 30)), 2) * R307 * (1 - S307)))</f>
        <v/>
      </c>
      <c r="P307" t="str" cm="1">
        <f t="array" aca="1" ref="P307" ca="1">IF(AND(A307&lt;&gt;"", C307&lt;&gt;""),
   SUMPRODUCT(--(TEXT(DATE(YEAR(TODAY()), MONTH(TODAY()), ROW(INDIRECT("1:" &amp; DAY(EOMONTH(TODAY(), 0))))), "dddd")=C307)),
   "")</f>
        <v/>
      </c>
      <c r="Q307" s="12"/>
      <c r="R307" s="11" t="str">
        <f t="shared" si="19"/>
        <v/>
      </c>
      <c r="U307" s="13"/>
    </row>
    <row r="308" spans="2:21" ht="18" x14ac:dyDescent="0.35">
      <c r="B308" t="str">
        <f>IF(A308="", "", IF(Q308="", "", IF(Q308=TIME(0,30,0), "Half Hour", IF(Q308=TIME(1,0,0), "Hour", TEXT(Q308*1440, "0") &amp; " Minutes"))))</f>
        <v/>
      </c>
      <c r="D308" s="9" t="str">
        <f t="shared" si="20"/>
        <v/>
      </c>
      <c r="E308" t="str">
        <f t="shared" si="21"/>
        <v/>
      </c>
      <c r="F308" s="9" t="str">
        <f t="shared" si="22"/>
        <v/>
      </c>
      <c r="G308" s="10"/>
      <c r="H308" s="10" t="str">
        <f>IF(A308="","",G308+Q308)</f>
        <v/>
      </c>
      <c r="M308" t="str">
        <f>IF(A308="","",IF(Q308="", "", ROUND(20 * EXP(LN(50/20) * ((HOUR(Q308)*60 + MINUTE(Q308) - 30) / 30)), 2) * R308 * (1 - S308)))</f>
        <v/>
      </c>
      <c r="P308" t="str" cm="1">
        <f t="array" aca="1" ref="P308" ca="1">IF(AND(A308&lt;&gt;"", C308&lt;&gt;""),
   SUMPRODUCT(--(TEXT(DATE(YEAR(TODAY()), MONTH(TODAY()), ROW(INDIRECT("1:" &amp; DAY(EOMONTH(TODAY(), 0))))), "dddd")=C308)),
   "")</f>
        <v/>
      </c>
      <c r="Q308" s="12"/>
      <c r="R308" s="11" t="str">
        <f t="shared" si="19"/>
        <v/>
      </c>
      <c r="U308" s="13"/>
    </row>
    <row r="309" spans="2:21" ht="18" x14ac:dyDescent="0.35">
      <c r="B309" t="str">
        <f>IF(A309="", "", IF(Q309="", "", IF(Q309=TIME(0,30,0), "Half Hour", IF(Q309=TIME(1,0,0), "Hour", TEXT(Q309*1440, "0") &amp; " Minutes"))))</f>
        <v/>
      </c>
      <c r="D309" s="9" t="str">
        <f t="shared" si="20"/>
        <v/>
      </c>
      <c r="E309" t="str">
        <f t="shared" si="21"/>
        <v/>
      </c>
      <c r="F309" s="9" t="str">
        <f t="shared" si="22"/>
        <v/>
      </c>
      <c r="G309" s="10"/>
      <c r="H309" s="10" t="str">
        <f>IF(A309="","",G309+Q309)</f>
        <v/>
      </c>
      <c r="M309" t="str">
        <f>IF(A309="","",IF(Q309="", "", ROUND(20 * EXP(LN(50/20) * ((HOUR(Q309)*60 + MINUTE(Q309) - 30) / 30)), 2) * R309 * (1 - S309)))</f>
        <v/>
      </c>
      <c r="P309" t="str" cm="1">
        <f t="array" aca="1" ref="P309" ca="1">IF(AND(A309&lt;&gt;"", C309&lt;&gt;""),
   SUMPRODUCT(--(TEXT(DATE(YEAR(TODAY()), MONTH(TODAY()), ROW(INDIRECT("1:" &amp; DAY(EOMONTH(TODAY(), 0))))), "dddd")=C309)),
   "")</f>
        <v/>
      </c>
      <c r="Q309" s="12"/>
      <c r="R309" s="11" t="str">
        <f t="shared" si="19"/>
        <v/>
      </c>
      <c r="U309" s="13"/>
    </row>
    <row r="310" spans="2:21" ht="18" x14ac:dyDescent="0.35">
      <c r="B310" t="str">
        <f>IF(A310="", "", IF(Q310="", "", IF(Q310=TIME(0,30,0), "Half Hour", IF(Q310=TIME(1,0,0), "Hour", TEXT(Q310*1440, "0") &amp; " Minutes"))))</f>
        <v/>
      </c>
      <c r="D310" s="9" t="str">
        <f t="shared" si="20"/>
        <v/>
      </c>
      <c r="E310" t="str">
        <f t="shared" si="21"/>
        <v/>
      </c>
      <c r="F310" s="9" t="str">
        <f t="shared" si="22"/>
        <v/>
      </c>
      <c r="G310" s="10"/>
      <c r="H310" s="10" t="str">
        <f>IF(A310="","",G310+Q310)</f>
        <v/>
      </c>
      <c r="M310" t="str">
        <f>IF(A310="","",IF(Q310="", "", ROUND(20 * EXP(LN(50/20) * ((HOUR(Q310)*60 + MINUTE(Q310) - 30) / 30)), 2) * R310 * (1 - S310)))</f>
        <v/>
      </c>
      <c r="P310" t="str" cm="1">
        <f t="array" aca="1" ref="P310" ca="1">IF(AND(A310&lt;&gt;"", C310&lt;&gt;""),
   SUMPRODUCT(--(TEXT(DATE(YEAR(TODAY()), MONTH(TODAY()), ROW(INDIRECT("1:" &amp; DAY(EOMONTH(TODAY(), 0))))), "dddd")=C310)),
   "")</f>
        <v/>
      </c>
      <c r="Q310" s="12"/>
      <c r="R310" s="11" t="str">
        <f t="shared" si="19"/>
        <v/>
      </c>
      <c r="U310" s="13"/>
    </row>
    <row r="311" spans="2:21" ht="18" x14ac:dyDescent="0.35">
      <c r="B311" t="str">
        <f>IF(A311="", "", IF(Q311="", "", IF(Q311=TIME(0,30,0), "Half Hour", IF(Q311=TIME(1,0,0), "Hour", TEXT(Q311*1440, "0") &amp; " Minutes"))))</f>
        <v/>
      </c>
      <c r="D311" s="9" t="str">
        <f t="shared" si="20"/>
        <v/>
      </c>
      <c r="E311" t="str">
        <f t="shared" si="21"/>
        <v/>
      </c>
      <c r="F311" s="9" t="str">
        <f t="shared" si="22"/>
        <v/>
      </c>
      <c r="G311" s="10"/>
      <c r="H311" s="10" t="str">
        <f>IF(A311="","",G311+Q311)</f>
        <v/>
      </c>
      <c r="M311" t="str">
        <f>IF(A311="","",IF(Q311="", "", ROUND(20 * EXP(LN(50/20) * ((HOUR(Q311)*60 + MINUTE(Q311) - 30) / 30)), 2) * R311 * (1 - S311)))</f>
        <v/>
      </c>
      <c r="P311" t="str" cm="1">
        <f t="array" aca="1" ref="P311" ca="1">IF(AND(A311&lt;&gt;"", C311&lt;&gt;""),
   SUMPRODUCT(--(TEXT(DATE(YEAR(TODAY()), MONTH(TODAY()), ROW(INDIRECT("1:" &amp; DAY(EOMONTH(TODAY(), 0))))), "dddd")=C311)),
   "")</f>
        <v/>
      </c>
      <c r="Q311" s="12"/>
      <c r="R311" s="11" t="str">
        <f t="shared" si="19"/>
        <v/>
      </c>
      <c r="U311" s="13"/>
    </row>
    <row r="312" spans="2:21" ht="18" x14ac:dyDescent="0.35">
      <c r="B312" t="str">
        <f>IF(A312="", "", IF(Q312="", "", IF(Q312=TIME(0,30,0), "Half Hour", IF(Q312=TIME(1,0,0), "Hour", TEXT(Q312*1440, "0") &amp; " Minutes"))))</f>
        <v/>
      </c>
      <c r="D312" s="9" t="str">
        <f t="shared" si="20"/>
        <v/>
      </c>
      <c r="E312" t="str">
        <f t="shared" si="21"/>
        <v/>
      </c>
      <c r="F312" s="9" t="str">
        <f t="shared" si="22"/>
        <v/>
      </c>
      <c r="G312" s="10"/>
      <c r="H312" s="10" t="str">
        <f>IF(A312="","",G312+Q312)</f>
        <v/>
      </c>
      <c r="M312" t="str">
        <f>IF(A312="","",IF(Q312="", "", ROUND(20 * EXP(LN(50/20) * ((HOUR(Q312)*60 + MINUTE(Q312) - 30) / 30)), 2) * R312 * (1 - S312)))</f>
        <v/>
      </c>
      <c r="P312" t="str" cm="1">
        <f t="array" aca="1" ref="P312" ca="1">IF(AND(A312&lt;&gt;"", C312&lt;&gt;""),
   SUMPRODUCT(--(TEXT(DATE(YEAR(TODAY()), MONTH(TODAY()), ROW(INDIRECT("1:" &amp; DAY(EOMONTH(TODAY(), 0))))), "dddd")=C312)),
   "")</f>
        <v/>
      </c>
      <c r="Q312" s="12"/>
      <c r="R312" s="11" t="str">
        <f t="shared" si="19"/>
        <v/>
      </c>
      <c r="U312" s="13"/>
    </row>
    <row r="313" spans="2:21" ht="18" x14ac:dyDescent="0.35">
      <c r="B313" t="str">
        <f>IF(A313="", "", IF(Q313="", "", IF(Q313=TIME(0,30,0), "Half Hour", IF(Q313=TIME(1,0,0), "Hour", TEXT(Q313*1440, "0") &amp; " Minutes"))))</f>
        <v/>
      </c>
      <c r="D313" s="9" t="str">
        <f t="shared" si="20"/>
        <v/>
      </c>
      <c r="E313" t="str">
        <f t="shared" si="21"/>
        <v/>
      </c>
      <c r="F313" s="9" t="str">
        <f t="shared" si="22"/>
        <v/>
      </c>
      <c r="G313" s="10"/>
      <c r="H313" s="10" t="str">
        <f>IF(A313="","",G313+Q313)</f>
        <v/>
      </c>
      <c r="M313" t="str">
        <f>IF(A313="","",IF(Q313="", "", ROUND(20 * EXP(LN(50/20) * ((HOUR(Q313)*60 + MINUTE(Q313) - 30) / 30)), 2) * R313 * (1 - S313)))</f>
        <v/>
      </c>
      <c r="P313" t="str" cm="1">
        <f t="array" aca="1" ref="P313" ca="1">IF(AND(A313&lt;&gt;"", C313&lt;&gt;""),
   SUMPRODUCT(--(TEXT(DATE(YEAR(TODAY()), MONTH(TODAY()), ROW(INDIRECT("1:" &amp; DAY(EOMONTH(TODAY(), 0))))), "dddd")=C313)),
   "")</f>
        <v/>
      </c>
      <c r="Q313" s="12"/>
      <c r="R313" s="11" t="str">
        <f t="shared" si="19"/>
        <v/>
      </c>
      <c r="U313" s="13"/>
    </row>
    <row r="314" spans="2:21" ht="18" x14ac:dyDescent="0.35">
      <c r="B314" t="str">
        <f>IF(A314="", "", IF(Q314="", "", IF(Q314=TIME(0,30,0), "Half Hour", IF(Q314=TIME(1,0,0), "Hour", TEXT(Q314*1440, "0") &amp; " Minutes"))))</f>
        <v/>
      </c>
      <c r="D314" s="9" t="str">
        <f t="shared" si="20"/>
        <v/>
      </c>
      <c r="E314" t="str">
        <f t="shared" si="21"/>
        <v/>
      </c>
      <c r="F314" s="9" t="str">
        <f t="shared" si="22"/>
        <v/>
      </c>
      <c r="G314" s="10"/>
      <c r="H314" s="10" t="str">
        <f>IF(A314="","",G314+Q314)</f>
        <v/>
      </c>
      <c r="M314" t="str">
        <f>IF(A314="","",IF(Q314="", "", ROUND(20 * EXP(LN(50/20) * ((HOUR(Q314)*60 + MINUTE(Q314) - 30) / 30)), 2) * R314 * (1 - S314)))</f>
        <v/>
      </c>
      <c r="P314" t="str" cm="1">
        <f t="array" aca="1" ref="P314" ca="1">IF(AND(A314&lt;&gt;"", C314&lt;&gt;""),
   SUMPRODUCT(--(TEXT(DATE(YEAR(TODAY()), MONTH(TODAY()), ROW(INDIRECT("1:" &amp; DAY(EOMONTH(TODAY(), 0))))), "dddd")=C314)),
   "")</f>
        <v/>
      </c>
      <c r="Q314" s="12"/>
      <c r="R314" s="11" t="str">
        <f t="shared" si="19"/>
        <v/>
      </c>
      <c r="U314" s="13"/>
    </row>
    <row r="315" spans="2:21" ht="18" x14ac:dyDescent="0.35">
      <c r="B315" t="str">
        <f>IF(A315="", "", IF(Q315="", "", IF(Q315=TIME(0,30,0), "Half Hour", IF(Q315=TIME(1,0,0), "Hour", TEXT(Q315*1440, "0") &amp; " Minutes"))))</f>
        <v/>
      </c>
      <c r="D315" s="9" t="str">
        <f t="shared" si="20"/>
        <v/>
      </c>
      <c r="E315" t="str">
        <f t="shared" si="21"/>
        <v/>
      </c>
      <c r="F315" s="9" t="str">
        <f t="shared" si="22"/>
        <v/>
      </c>
      <c r="G315" s="10"/>
      <c r="H315" s="10" t="str">
        <f>IF(A315="","",G315+Q315)</f>
        <v/>
      </c>
      <c r="M315" t="str">
        <f>IF(A315="","",IF(Q315="", "", ROUND(20 * EXP(LN(50/20) * ((HOUR(Q315)*60 + MINUTE(Q315) - 30) / 30)), 2) * R315 * (1 - S315)))</f>
        <v/>
      </c>
      <c r="P315" t="str" cm="1">
        <f t="array" aca="1" ref="P315" ca="1">IF(AND(A315&lt;&gt;"", C315&lt;&gt;""),
   SUMPRODUCT(--(TEXT(DATE(YEAR(TODAY()), MONTH(TODAY()), ROW(INDIRECT("1:" &amp; DAY(EOMONTH(TODAY(), 0))))), "dddd")=C315)),
   "")</f>
        <v/>
      </c>
      <c r="Q315" s="12"/>
      <c r="R315" s="11" t="str">
        <f t="shared" si="19"/>
        <v/>
      </c>
      <c r="U315" s="13"/>
    </row>
    <row r="316" spans="2:21" ht="18" x14ac:dyDescent="0.35">
      <c r="B316" t="str">
        <f>IF(A316="", "", IF(Q316="", "", IF(Q316=TIME(0,30,0), "Half Hour", IF(Q316=TIME(1,0,0), "Hour", TEXT(Q316*1440, "0") &amp; " Minutes"))))</f>
        <v/>
      </c>
      <c r="D316" s="9" t="str">
        <f t="shared" si="20"/>
        <v/>
      </c>
      <c r="E316" t="str">
        <f t="shared" si="21"/>
        <v/>
      </c>
      <c r="F316" s="9" t="str">
        <f t="shared" si="22"/>
        <v/>
      </c>
      <c r="G316" s="10"/>
      <c r="H316" s="10" t="str">
        <f>IF(A316="","",G316+Q316)</f>
        <v/>
      </c>
      <c r="M316" t="str">
        <f>IF(A316="","",IF(Q316="", "", ROUND(20 * EXP(LN(50/20) * ((HOUR(Q316)*60 + MINUTE(Q316) - 30) / 30)), 2) * R316 * (1 - S316)))</f>
        <v/>
      </c>
      <c r="P316" t="str" cm="1">
        <f t="array" aca="1" ref="P316" ca="1">IF(AND(A316&lt;&gt;"", C316&lt;&gt;""),
   SUMPRODUCT(--(TEXT(DATE(YEAR(TODAY()), MONTH(TODAY()), ROW(INDIRECT("1:" &amp; DAY(EOMONTH(TODAY(), 0))))), "dddd")=C316)),
   "")</f>
        <v/>
      </c>
      <c r="Q316" s="12"/>
      <c r="R316" s="11" t="str">
        <f t="shared" si="19"/>
        <v/>
      </c>
      <c r="U316" s="13"/>
    </row>
    <row r="317" spans="2:21" ht="18" x14ac:dyDescent="0.35">
      <c r="B317" t="str">
        <f>IF(A317="", "", IF(Q317="", "", IF(Q317=TIME(0,30,0), "Half Hour", IF(Q317=TIME(1,0,0), "Hour", TEXT(Q317*1440, "0") &amp; " Minutes"))))</f>
        <v/>
      </c>
      <c r="D317" s="9" t="str">
        <f t="shared" si="20"/>
        <v/>
      </c>
      <c r="E317" t="str">
        <f t="shared" si="21"/>
        <v/>
      </c>
      <c r="F317" s="9" t="str">
        <f t="shared" si="22"/>
        <v/>
      </c>
      <c r="G317" s="10"/>
      <c r="H317" s="10" t="str">
        <f>IF(A317="","",G317+Q317)</f>
        <v/>
      </c>
      <c r="M317" t="str">
        <f>IF(A317="","",IF(Q317="", "", ROUND(20 * EXP(LN(50/20) * ((HOUR(Q317)*60 + MINUTE(Q317) - 30) / 30)), 2) * R317 * (1 - S317)))</f>
        <v/>
      </c>
      <c r="P317" t="str" cm="1">
        <f t="array" aca="1" ref="P317" ca="1">IF(AND(A317&lt;&gt;"", C317&lt;&gt;""),
   SUMPRODUCT(--(TEXT(DATE(YEAR(TODAY()), MONTH(TODAY()), ROW(INDIRECT("1:" &amp; DAY(EOMONTH(TODAY(), 0))))), "dddd")=C317)),
   "")</f>
        <v/>
      </c>
      <c r="Q317" s="12"/>
      <c r="R317" s="11" t="str">
        <f t="shared" si="19"/>
        <v/>
      </c>
      <c r="U317" s="13"/>
    </row>
    <row r="318" spans="2:21" ht="18" x14ac:dyDescent="0.35">
      <c r="B318" t="str">
        <f>IF(A318="", "", IF(Q318="", "", IF(Q318=TIME(0,30,0), "Half Hour", IF(Q318=TIME(1,0,0), "Hour", TEXT(Q318*1440, "0") &amp; " Minutes"))))</f>
        <v/>
      </c>
      <c r="D318" s="9" t="str">
        <f t="shared" si="20"/>
        <v/>
      </c>
      <c r="E318" t="str">
        <f t="shared" si="21"/>
        <v/>
      </c>
      <c r="F318" s="9" t="str">
        <f t="shared" si="22"/>
        <v/>
      </c>
      <c r="G318" s="10"/>
      <c r="H318" s="10" t="str">
        <f>IF(A318="","",G318+Q318)</f>
        <v/>
      </c>
      <c r="M318" t="str">
        <f>IF(A318="","",IF(Q318="", "", ROUND(20 * EXP(LN(50/20) * ((HOUR(Q318)*60 + MINUTE(Q318) - 30) / 30)), 2) * R318 * (1 - S318)))</f>
        <v/>
      </c>
      <c r="P318" t="str" cm="1">
        <f t="array" aca="1" ref="P318" ca="1">IF(AND(A318&lt;&gt;"", C318&lt;&gt;""),
   SUMPRODUCT(--(TEXT(DATE(YEAR(TODAY()), MONTH(TODAY()), ROW(INDIRECT("1:" &amp; DAY(EOMONTH(TODAY(), 0))))), "dddd")=C318)),
   "")</f>
        <v/>
      </c>
      <c r="Q318" s="12"/>
      <c r="R318" s="11" t="str">
        <f t="shared" si="19"/>
        <v/>
      </c>
      <c r="U318" s="13"/>
    </row>
    <row r="319" spans="2:21" ht="18" x14ac:dyDescent="0.35">
      <c r="B319" t="str">
        <f>IF(A319="", "", IF(Q319="", "", IF(Q319=TIME(0,30,0), "Half Hour", IF(Q319=TIME(1,0,0), "Hour", TEXT(Q319*1440, "0") &amp; " Minutes"))))</f>
        <v/>
      </c>
      <c r="D319" s="9" t="str">
        <f t="shared" si="20"/>
        <v/>
      </c>
      <c r="E319" t="str">
        <f t="shared" si="21"/>
        <v/>
      </c>
      <c r="F319" s="9" t="str">
        <f t="shared" si="22"/>
        <v/>
      </c>
      <c r="G319" s="10"/>
      <c r="H319" s="10" t="str">
        <f>IF(A319="","",G319+Q319)</f>
        <v/>
      </c>
      <c r="M319" t="str">
        <f>IF(A319="","",IF(Q319="", "", ROUND(20 * EXP(LN(50/20) * ((HOUR(Q319)*60 + MINUTE(Q319) - 30) / 30)), 2) * R319 * (1 - S319)))</f>
        <v/>
      </c>
      <c r="P319" t="str" cm="1">
        <f t="array" aca="1" ref="P319" ca="1">IF(AND(A319&lt;&gt;"", C319&lt;&gt;""),
   SUMPRODUCT(--(TEXT(DATE(YEAR(TODAY()), MONTH(TODAY()), ROW(INDIRECT("1:" &amp; DAY(EOMONTH(TODAY(), 0))))), "dddd")=C319)),
   "")</f>
        <v/>
      </c>
      <c r="Q319" s="12"/>
      <c r="R319" s="11" t="str">
        <f t="shared" si="19"/>
        <v/>
      </c>
      <c r="U319" s="13"/>
    </row>
    <row r="320" spans="2:21" ht="18" x14ac:dyDescent="0.35">
      <c r="B320" t="str">
        <f>IF(A320="", "", IF(Q320="", "", IF(Q320=TIME(0,30,0), "Half Hour", IF(Q320=TIME(1,0,0), "Hour", TEXT(Q320*1440, "0") &amp; " Minutes"))))</f>
        <v/>
      </c>
      <c r="D320" s="9" t="str">
        <f t="shared" si="20"/>
        <v/>
      </c>
      <c r="E320" t="str">
        <f t="shared" si="21"/>
        <v/>
      </c>
      <c r="F320" s="9" t="str">
        <f t="shared" si="22"/>
        <v/>
      </c>
      <c r="G320" s="10"/>
      <c r="H320" s="10" t="str">
        <f>IF(A320="","",G320+Q320)</f>
        <v/>
      </c>
      <c r="M320" t="str">
        <f>IF(A320="","",IF(Q320="", "", ROUND(20 * EXP(LN(50/20) * ((HOUR(Q320)*60 + MINUTE(Q320) - 30) / 30)), 2) * R320 * (1 - S320)))</f>
        <v/>
      </c>
      <c r="P320" t="str" cm="1">
        <f t="array" aca="1" ref="P320" ca="1">IF(AND(A320&lt;&gt;"", C320&lt;&gt;""),
   SUMPRODUCT(--(TEXT(DATE(YEAR(TODAY()), MONTH(TODAY()), ROW(INDIRECT("1:" &amp; DAY(EOMONTH(TODAY(), 0))))), "dddd")=C320)),
   "")</f>
        <v/>
      </c>
      <c r="Q320" s="12"/>
      <c r="R320" s="11" t="str">
        <f t="shared" si="19"/>
        <v/>
      </c>
      <c r="U320" s="13"/>
    </row>
    <row r="321" spans="2:21" ht="18" x14ac:dyDescent="0.35">
      <c r="B321" t="str">
        <f>IF(A321="", "", IF(Q321="", "", IF(Q321=TIME(0,30,0), "Half Hour", IF(Q321=TIME(1,0,0), "Hour", TEXT(Q321*1440, "0") &amp; " Minutes"))))</f>
        <v/>
      </c>
      <c r="D321" s="9" t="str">
        <f t="shared" si="20"/>
        <v/>
      </c>
      <c r="E321" t="str">
        <f t="shared" si="21"/>
        <v/>
      </c>
      <c r="F321" s="9" t="str">
        <f t="shared" si="22"/>
        <v/>
      </c>
      <c r="G321" s="10"/>
      <c r="H321" s="10" t="str">
        <f>IF(A321="","",G321+Q321)</f>
        <v/>
      </c>
      <c r="M321" t="str">
        <f>IF(A321="","",IF(Q321="", "", ROUND(20 * EXP(LN(50/20) * ((HOUR(Q321)*60 + MINUTE(Q321) - 30) / 30)), 2) * R321 * (1 - S321)))</f>
        <v/>
      </c>
      <c r="P321" t="str" cm="1">
        <f t="array" aca="1" ref="P321" ca="1">IF(AND(A321&lt;&gt;"", C321&lt;&gt;""),
   SUMPRODUCT(--(TEXT(DATE(YEAR(TODAY()), MONTH(TODAY()), ROW(INDIRECT("1:" &amp; DAY(EOMONTH(TODAY(), 0))))), "dddd")=C321)),
   "")</f>
        <v/>
      </c>
      <c r="Q321" s="12"/>
      <c r="R321" s="11" t="str">
        <f t="shared" ref="R321:R384" si="23">IF(A321="", "", IFERROR(VALUE(MID(A321,FIND("(",A321)+1,FIND(")",A321)-FIND("(",A321)-1)), 1))</f>
        <v/>
      </c>
      <c r="U321" s="13"/>
    </row>
    <row r="322" spans="2:21" ht="18" x14ac:dyDescent="0.35">
      <c r="B322" t="str">
        <f>IF(A322="", "", IF(Q322="", "", IF(Q322=TIME(0,30,0), "Half Hour", IF(Q322=TIME(1,0,0), "Hour", TEXT(Q322*1440, "0") &amp; " Minutes"))))</f>
        <v/>
      </c>
      <c r="D322" s="9" t="str">
        <f t="shared" si="20"/>
        <v/>
      </c>
      <c r="E322" t="str">
        <f t="shared" si="21"/>
        <v/>
      </c>
      <c r="F322" s="9" t="str">
        <f t="shared" si="22"/>
        <v/>
      </c>
      <c r="G322" s="10"/>
      <c r="H322" s="10" t="str">
        <f>IF(A322="","",G322+Q322)</f>
        <v/>
      </c>
      <c r="M322" t="str">
        <f>IF(A322="","",IF(Q322="", "", ROUND(20 * EXP(LN(50/20) * ((HOUR(Q322)*60 + MINUTE(Q322) - 30) / 30)), 2) * R322 * (1 - S322)))</f>
        <v/>
      </c>
      <c r="P322" t="str" cm="1">
        <f t="array" aca="1" ref="P322" ca="1">IF(AND(A322&lt;&gt;"", C322&lt;&gt;""),
   SUMPRODUCT(--(TEXT(DATE(YEAR(TODAY()), MONTH(TODAY()), ROW(INDIRECT("1:" &amp; DAY(EOMONTH(TODAY(), 0))))), "dddd")=C322)),
   "")</f>
        <v/>
      </c>
      <c r="Q322" s="12"/>
      <c r="R322" s="11" t="str">
        <f t="shared" si="23"/>
        <v/>
      </c>
      <c r="U322" s="13"/>
    </row>
    <row r="323" spans="2:21" ht="18" x14ac:dyDescent="0.35">
      <c r="B323" t="str">
        <f>IF(A323="", "", IF(Q323="", "", IF(Q323=TIME(0,30,0), "Half Hour", IF(Q323=TIME(1,0,0), "Hour", TEXT(Q323*1440, "0") &amp; " Minutes"))))</f>
        <v/>
      </c>
      <c r="D323" s="9" t="str">
        <f t="shared" ref="D323:D386" si="24">IF(A323="","",F323-IF(E323="",0,E323))</f>
        <v/>
      </c>
      <c r="E323" t="str">
        <f t="shared" ref="E323:E386" si="25">IF(A323="","",IF(L323="No","",1.5*O323))</f>
        <v/>
      </c>
      <c r="F323" s="9" t="str">
        <f t="shared" ref="F323:F386" si="26">IF(A323="","",M323*P323)</f>
        <v/>
      </c>
      <c r="G323" s="10"/>
      <c r="H323" s="10" t="str">
        <f>IF(A323="","",G323+Q323)</f>
        <v/>
      </c>
      <c r="M323" t="str">
        <f>IF(A323="","",IF(Q323="", "", ROUND(20 * EXP(LN(50/20) * ((HOUR(Q323)*60 + MINUTE(Q323) - 30) / 30)), 2) * R323 * (1 - S323)))</f>
        <v/>
      </c>
      <c r="P323" t="str" cm="1">
        <f t="array" aca="1" ref="P323" ca="1">IF(AND(A323&lt;&gt;"", C323&lt;&gt;""),
   SUMPRODUCT(--(TEXT(DATE(YEAR(TODAY()), MONTH(TODAY()), ROW(INDIRECT("1:" &amp; DAY(EOMONTH(TODAY(), 0))))), "dddd")=C323)),
   "")</f>
        <v/>
      </c>
      <c r="Q323" s="12"/>
      <c r="R323" s="11" t="str">
        <f t="shared" si="23"/>
        <v/>
      </c>
      <c r="U323" s="13"/>
    </row>
    <row r="324" spans="2:21" ht="18" x14ac:dyDescent="0.35">
      <c r="B324" t="str">
        <f>IF(A324="", "", IF(Q324="", "", IF(Q324=TIME(0,30,0), "Half Hour", IF(Q324=TIME(1,0,0), "Hour", TEXT(Q324*1440, "0") &amp; " Minutes"))))</f>
        <v/>
      </c>
      <c r="D324" s="9" t="str">
        <f t="shared" si="24"/>
        <v/>
      </c>
      <c r="E324" t="str">
        <f t="shared" si="25"/>
        <v/>
      </c>
      <c r="F324" s="9" t="str">
        <f t="shared" si="26"/>
        <v/>
      </c>
      <c r="G324" s="10"/>
      <c r="H324" s="10" t="str">
        <f>IF(A324="","",G324+Q324)</f>
        <v/>
      </c>
      <c r="M324" t="str">
        <f>IF(A324="","",IF(Q324="", "", ROUND(20 * EXP(LN(50/20) * ((HOUR(Q324)*60 + MINUTE(Q324) - 30) / 30)), 2) * R324 * (1 - S324)))</f>
        <v/>
      </c>
      <c r="P324" t="str" cm="1">
        <f t="array" aca="1" ref="P324" ca="1">IF(AND(A324&lt;&gt;"", C324&lt;&gt;""),
   SUMPRODUCT(--(TEXT(DATE(YEAR(TODAY()), MONTH(TODAY()), ROW(INDIRECT("1:" &amp; DAY(EOMONTH(TODAY(), 0))))), "dddd")=C324)),
   "")</f>
        <v/>
      </c>
      <c r="Q324" s="12"/>
      <c r="R324" s="11" t="str">
        <f t="shared" si="23"/>
        <v/>
      </c>
      <c r="U324" s="13"/>
    </row>
    <row r="325" spans="2:21" ht="18" x14ac:dyDescent="0.35">
      <c r="B325" t="str">
        <f>IF(A325="", "", IF(Q325="", "", IF(Q325=TIME(0,30,0), "Half Hour", IF(Q325=TIME(1,0,0), "Hour", TEXT(Q325*1440, "0") &amp; " Minutes"))))</f>
        <v/>
      </c>
      <c r="D325" s="9" t="str">
        <f t="shared" si="24"/>
        <v/>
      </c>
      <c r="E325" t="str">
        <f t="shared" si="25"/>
        <v/>
      </c>
      <c r="F325" s="9" t="str">
        <f t="shared" si="26"/>
        <v/>
      </c>
      <c r="G325" s="10"/>
      <c r="H325" s="10" t="str">
        <f>IF(A325="","",G325+Q325)</f>
        <v/>
      </c>
      <c r="M325" t="str">
        <f>IF(A325="","",IF(Q325="", "", ROUND(20 * EXP(LN(50/20) * ((HOUR(Q325)*60 + MINUTE(Q325) - 30) / 30)), 2) * R325 * (1 - S325)))</f>
        <v/>
      </c>
      <c r="P325" t="str" cm="1">
        <f t="array" aca="1" ref="P325" ca="1">IF(AND(A325&lt;&gt;"", C325&lt;&gt;""),
   SUMPRODUCT(--(TEXT(DATE(YEAR(TODAY()), MONTH(TODAY()), ROW(INDIRECT("1:" &amp; DAY(EOMONTH(TODAY(), 0))))), "dddd")=C325)),
   "")</f>
        <v/>
      </c>
      <c r="Q325" s="12"/>
      <c r="R325" s="11" t="str">
        <f t="shared" si="23"/>
        <v/>
      </c>
      <c r="U325" s="13"/>
    </row>
    <row r="326" spans="2:21" ht="18" x14ac:dyDescent="0.35">
      <c r="B326" t="str">
        <f>IF(A326="", "", IF(Q326="", "", IF(Q326=TIME(0,30,0), "Half Hour", IF(Q326=TIME(1,0,0), "Hour", TEXT(Q326*1440, "0") &amp; " Minutes"))))</f>
        <v/>
      </c>
      <c r="D326" s="9" t="str">
        <f t="shared" si="24"/>
        <v/>
      </c>
      <c r="E326" t="str">
        <f t="shared" si="25"/>
        <v/>
      </c>
      <c r="F326" s="9" t="str">
        <f t="shared" si="26"/>
        <v/>
      </c>
      <c r="G326" s="10"/>
      <c r="H326" s="10" t="str">
        <f>IF(A326="","",G326+Q326)</f>
        <v/>
      </c>
      <c r="M326" t="str">
        <f>IF(A326="","",IF(Q326="", "", ROUND(20 * EXP(LN(50/20) * ((HOUR(Q326)*60 + MINUTE(Q326) - 30) / 30)), 2) * R326 * (1 - S326)))</f>
        <v/>
      </c>
      <c r="P326" t="str" cm="1">
        <f t="array" aca="1" ref="P326" ca="1">IF(AND(A326&lt;&gt;"", C326&lt;&gt;""),
   SUMPRODUCT(--(TEXT(DATE(YEAR(TODAY()), MONTH(TODAY()), ROW(INDIRECT("1:" &amp; DAY(EOMONTH(TODAY(), 0))))), "dddd")=C326)),
   "")</f>
        <v/>
      </c>
      <c r="Q326" s="12"/>
      <c r="R326" s="11" t="str">
        <f t="shared" si="23"/>
        <v/>
      </c>
      <c r="U326" s="13"/>
    </row>
    <row r="327" spans="2:21" ht="18" x14ac:dyDescent="0.35">
      <c r="B327" t="str">
        <f>IF(A327="", "", IF(Q327="", "", IF(Q327=TIME(0,30,0), "Half Hour", IF(Q327=TIME(1,0,0), "Hour", TEXT(Q327*1440, "0") &amp; " Minutes"))))</f>
        <v/>
      </c>
      <c r="D327" s="9" t="str">
        <f t="shared" si="24"/>
        <v/>
      </c>
      <c r="E327" t="str">
        <f t="shared" si="25"/>
        <v/>
      </c>
      <c r="F327" s="9" t="str">
        <f t="shared" si="26"/>
        <v/>
      </c>
      <c r="G327" s="10"/>
      <c r="H327" s="10" t="str">
        <f>IF(A327="","",G327+Q327)</f>
        <v/>
      </c>
      <c r="M327" t="str">
        <f>IF(A327="","",IF(Q327="", "", ROUND(20 * EXP(LN(50/20) * ((HOUR(Q327)*60 + MINUTE(Q327) - 30) / 30)), 2) * R327 * (1 - S327)))</f>
        <v/>
      </c>
      <c r="P327" t="str" cm="1">
        <f t="array" aca="1" ref="P327" ca="1">IF(AND(A327&lt;&gt;"", C327&lt;&gt;""),
   SUMPRODUCT(--(TEXT(DATE(YEAR(TODAY()), MONTH(TODAY()), ROW(INDIRECT("1:" &amp; DAY(EOMONTH(TODAY(), 0))))), "dddd")=C327)),
   "")</f>
        <v/>
      </c>
      <c r="Q327" s="12"/>
      <c r="R327" s="11" t="str">
        <f t="shared" si="23"/>
        <v/>
      </c>
      <c r="U327" s="13"/>
    </row>
    <row r="328" spans="2:21" ht="18" x14ac:dyDescent="0.35">
      <c r="B328" t="str">
        <f>IF(A328="", "", IF(Q328="", "", IF(Q328=TIME(0,30,0), "Half Hour", IF(Q328=TIME(1,0,0), "Hour", TEXT(Q328*1440, "0") &amp; " Minutes"))))</f>
        <v/>
      </c>
      <c r="D328" s="9" t="str">
        <f t="shared" si="24"/>
        <v/>
      </c>
      <c r="E328" t="str">
        <f t="shared" si="25"/>
        <v/>
      </c>
      <c r="F328" s="9" t="str">
        <f t="shared" si="26"/>
        <v/>
      </c>
      <c r="G328" s="10"/>
      <c r="H328" s="10" t="str">
        <f>IF(A328="","",G328+Q328)</f>
        <v/>
      </c>
      <c r="M328" t="str">
        <f>IF(A328="","",IF(Q328="", "", ROUND(20 * EXP(LN(50/20) * ((HOUR(Q328)*60 + MINUTE(Q328) - 30) / 30)), 2) * R328 * (1 - S328)))</f>
        <v/>
      </c>
      <c r="P328" t="str" cm="1">
        <f t="array" aca="1" ref="P328" ca="1">IF(AND(A328&lt;&gt;"", C328&lt;&gt;""),
   SUMPRODUCT(--(TEXT(DATE(YEAR(TODAY()), MONTH(TODAY()), ROW(INDIRECT("1:" &amp; DAY(EOMONTH(TODAY(), 0))))), "dddd")=C328)),
   "")</f>
        <v/>
      </c>
      <c r="Q328" s="12"/>
      <c r="R328" s="11" t="str">
        <f t="shared" si="23"/>
        <v/>
      </c>
      <c r="U328" s="13"/>
    </row>
    <row r="329" spans="2:21" ht="18" x14ac:dyDescent="0.35">
      <c r="B329" t="str">
        <f>IF(A329="", "", IF(Q329="", "", IF(Q329=TIME(0,30,0), "Half Hour", IF(Q329=TIME(1,0,0), "Hour", TEXT(Q329*1440, "0") &amp; " Minutes"))))</f>
        <v/>
      </c>
      <c r="D329" s="9" t="str">
        <f t="shared" si="24"/>
        <v/>
      </c>
      <c r="E329" t="str">
        <f t="shared" si="25"/>
        <v/>
      </c>
      <c r="F329" s="9" t="str">
        <f t="shared" si="26"/>
        <v/>
      </c>
      <c r="G329" s="10"/>
      <c r="H329" s="10" t="str">
        <f>IF(A329="","",G329+Q329)</f>
        <v/>
      </c>
      <c r="M329" t="str">
        <f>IF(A329="","",IF(Q329="", "", ROUND(20 * EXP(LN(50/20) * ((HOUR(Q329)*60 + MINUTE(Q329) - 30) / 30)), 2) * R329 * (1 - S329)))</f>
        <v/>
      </c>
      <c r="P329" t="str" cm="1">
        <f t="array" aca="1" ref="P329" ca="1">IF(AND(A329&lt;&gt;"", C329&lt;&gt;""),
   SUMPRODUCT(--(TEXT(DATE(YEAR(TODAY()), MONTH(TODAY()), ROW(INDIRECT("1:" &amp; DAY(EOMONTH(TODAY(), 0))))), "dddd")=C329)),
   "")</f>
        <v/>
      </c>
      <c r="Q329" s="12"/>
      <c r="R329" s="11" t="str">
        <f t="shared" si="23"/>
        <v/>
      </c>
      <c r="U329" s="13"/>
    </row>
    <row r="330" spans="2:21" ht="18" x14ac:dyDescent="0.35">
      <c r="B330" t="str">
        <f>IF(A330="", "", IF(Q330="", "", IF(Q330=TIME(0,30,0), "Half Hour", IF(Q330=TIME(1,0,0), "Hour", TEXT(Q330*1440, "0") &amp; " Minutes"))))</f>
        <v/>
      </c>
      <c r="D330" s="9" t="str">
        <f t="shared" si="24"/>
        <v/>
      </c>
      <c r="E330" t="str">
        <f t="shared" si="25"/>
        <v/>
      </c>
      <c r="F330" s="9" t="str">
        <f t="shared" si="26"/>
        <v/>
      </c>
      <c r="G330" s="10"/>
      <c r="H330" s="10" t="str">
        <f>IF(A330="","",G330+Q330)</f>
        <v/>
      </c>
      <c r="M330" t="str">
        <f>IF(A330="","",IF(Q330="", "", ROUND(20 * EXP(LN(50/20) * ((HOUR(Q330)*60 + MINUTE(Q330) - 30) / 30)), 2) * R330 * (1 - S330)))</f>
        <v/>
      </c>
      <c r="P330" t="str" cm="1">
        <f t="array" aca="1" ref="P330" ca="1">IF(AND(A330&lt;&gt;"", C330&lt;&gt;""),
   SUMPRODUCT(--(TEXT(DATE(YEAR(TODAY()), MONTH(TODAY()), ROW(INDIRECT("1:" &amp; DAY(EOMONTH(TODAY(), 0))))), "dddd")=C330)),
   "")</f>
        <v/>
      </c>
      <c r="Q330" s="12"/>
      <c r="R330" s="11" t="str">
        <f t="shared" si="23"/>
        <v/>
      </c>
      <c r="U330" s="13"/>
    </row>
    <row r="331" spans="2:21" ht="18" x14ac:dyDescent="0.35">
      <c r="B331" t="str">
        <f>IF(A331="", "", IF(Q331="", "", IF(Q331=TIME(0,30,0), "Half Hour", IF(Q331=TIME(1,0,0), "Hour", TEXT(Q331*1440, "0") &amp; " Minutes"))))</f>
        <v/>
      </c>
      <c r="D331" s="9" t="str">
        <f t="shared" si="24"/>
        <v/>
      </c>
      <c r="E331" t="str">
        <f t="shared" si="25"/>
        <v/>
      </c>
      <c r="F331" s="9" t="str">
        <f t="shared" si="26"/>
        <v/>
      </c>
      <c r="G331" s="10"/>
      <c r="H331" s="10" t="str">
        <f>IF(A331="","",G331+Q331)</f>
        <v/>
      </c>
      <c r="M331" t="str">
        <f>IF(A331="","",IF(Q331="", "", ROUND(20 * EXP(LN(50/20) * ((HOUR(Q331)*60 + MINUTE(Q331) - 30) / 30)), 2) * R331 * (1 - S331)))</f>
        <v/>
      </c>
      <c r="P331" t="str" cm="1">
        <f t="array" aca="1" ref="P331" ca="1">IF(AND(A331&lt;&gt;"", C331&lt;&gt;""),
   SUMPRODUCT(--(TEXT(DATE(YEAR(TODAY()), MONTH(TODAY()), ROW(INDIRECT("1:" &amp; DAY(EOMONTH(TODAY(), 0))))), "dddd")=C331)),
   "")</f>
        <v/>
      </c>
      <c r="Q331" s="12"/>
      <c r="R331" s="11" t="str">
        <f t="shared" si="23"/>
        <v/>
      </c>
      <c r="U331" s="13"/>
    </row>
    <row r="332" spans="2:21" ht="18" x14ac:dyDescent="0.35">
      <c r="B332" t="str">
        <f>IF(A332="", "", IF(Q332="", "", IF(Q332=TIME(0,30,0), "Half Hour", IF(Q332=TIME(1,0,0), "Hour", TEXT(Q332*1440, "0") &amp; " Minutes"))))</f>
        <v/>
      </c>
      <c r="D332" s="9" t="str">
        <f t="shared" si="24"/>
        <v/>
      </c>
      <c r="E332" t="str">
        <f t="shared" si="25"/>
        <v/>
      </c>
      <c r="F332" s="9" t="str">
        <f t="shared" si="26"/>
        <v/>
      </c>
      <c r="G332" s="10"/>
      <c r="H332" s="10" t="str">
        <f>IF(A332="","",G332+Q332)</f>
        <v/>
      </c>
      <c r="M332" t="str">
        <f>IF(A332="","",IF(Q332="", "", ROUND(20 * EXP(LN(50/20) * ((HOUR(Q332)*60 + MINUTE(Q332) - 30) / 30)), 2) * R332 * (1 - S332)))</f>
        <v/>
      </c>
      <c r="P332" t="str" cm="1">
        <f t="array" aca="1" ref="P332" ca="1">IF(AND(A332&lt;&gt;"", C332&lt;&gt;""),
   SUMPRODUCT(--(TEXT(DATE(YEAR(TODAY()), MONTH(TODAY()), ROW(INDIRECT("1:" &amp; DAY(EOMONTH(TODAY(), 0))))), "dddd")=C332)),
   "")</f>
        <v/>
      </c>
      <c r="Q332" s="12"/>
      <c r="R332" s="11" t="str">
        <f t="shared" si="23"/>
        <v/>
      </c>
      <c r="U332" s="13"/>
    </row>
    <row r="333" spans="2:21" ht="18" x14ac:dyDescent="0.35">
      <c r="B333" t="str">
        <f>IF(A333="", "", IF(Q333="", "", IF(Q333=TIME(0,30,0), "Half Hour", IF(Q333=TIME(1,0,0), "Hour", TEXT(Q333*1440, "0") &amp; " Minutes"))))</f>
        <v/>
      </c>
      <c r="D333" s="9" t="str">
        <f t="shared" si="24"/>
        <v/>
      </c>
      <c r="E333" t="str">
        <f t="shared" si="25"/>
        <v/>
      </c>
      <c r="F333" s="9" t="str">
        <f t="shared" si="26"/>
        <v/>
      </c>
      <c r="G333" s="10"/>
      <c r="H333" s="10" t="str">
        <f>IF(A333="","",G333+Q333)</f>
        <v/>
      </c>
      <c r="M333" t="str">
        <f>IF(A333="","",IF(Q333="", "", ROUND(20 * EXP(LN(50/20) * ((HOUR(Q333)*60 + MINUTE(Q333) - 30) / 30)), 2) * R333 * (1 - S333)))</f>
        <v/>
      </c>
      <c r="P333" t="str" cm="1">
        <f t="array" aca="1" ref="P333" ca="1">IF(AND(A333&lt;&gt;"", C333&lt;&gt;""),
   SUMPRODUCT(--(TEXT(DATE(YEAR(TODAY()), MONTH(TODAY()), ROW(INDIRECT("1:" &amp; DAY(EOMONTH(TODAY(), 0))))), "dddd")=C333)),
   "")</f>
        <v/>
      </c>
      <c r="Q333" s="12"/>
      <c r="R333" s="11" t="str">
        <f t="shared" si="23"/>
        <v/>
      </c>
      <c r="U333" s="13"/>
    </row>
    <row r="334" spans="2:21" ht="18" x14ac:dyDescent="0.35">
      <c r="B334" t="str">
        <f>IF(A334="", "", IF(Q334="", "", IF(Q334=TIME(0,30,0), "Half Hour", IF(Q334=TIME(1,0,0), "Hour", TEXT(Q334*1440, "0") &amp; " Minutes"))))</f>
        <v/>
      </c>
      <c r="D334" s="9" t="str">
        <f t="shared" si="24"/>
        <v/>
      </c>
      <c r="E334" t="str">
        <f t="shared" si="25"/>
        <v/>
      </c>
      <c r="F334" s="9" t="str">
        <f t="shared" si="26"/>
        <v/>
      </c>
      <c r="G334" s="10"/>
      <c r="H334" s="10" t="str">
        <f>IF(A334="","",G334+Q334)</f>
        <v/>
      </c>
      <c r="M334" t="str">
        <f>IF(A334="","",IF(Q334="", "", ROUND(20 * EXP(LN(50/20) * ((HOUR(Q334)*60 + MINUTE(Q334) - 30) / 30)), 2) * R334 * (1 - S334)))</f>
        <v/>
      </c>
      <c r="P334" t="str" cm="1">
        <f t="array" aca="1" ref="P334" ca="1">IF(AND(A334&lt;&gt;"", C334&lt;&gt;""),
   SUMPRODUCT(--(TEXT(DATE(YEAR(TODAY()), MONTH(TODAY()), ROW(INDIRECT("1:" &amp; DAY(EOMONTH(TODAY(), 0))))), "dddd")=C334)),
   "")</f>
        <v/>
      </c>
      <c r="Q334" s="12"/>
      <c r="R334" s="11" t="str">
        <f t="shared" si="23"/>
        <v/>
      </c>
      <c r="U334" s="13"/>
    </row>
    <row r="335" spans="2:21" ht="18" x14ac:dyDescent="0.35">
      <c r="B335" t="str">
        <f>IF(A335="", "", IF(Q335="", "", IF(Q335=TIME(0,30,0), "Half Hour", IF(Q335=TIME(1,0,0), "Hour", TEXT(Q335*1440, "0") &amp; " Minutes"))))</f>
        <v/>
      </c>
      <c r="D335" s="9" t="str">
        <f t="shared" si="24"/>
        <v/>
      </c>
      <c r="E335" t="str">
        <f t="shared" si="25"/>
        <v/>
      </c>
      <c r="F335" s="9" t="str">
        <f t="shared" si="26"/>
        <v/>
      </c>
      <c r="G335" s="10"/>
      <c r="H335" s="10" t="str">
        <f>IF(A335="","",G335+Q335)</f>
        <v/>
      </c>
      <c r="M335" t="str">
        <f>IF(A335="","",IF(Q335="", "", ROUND(20 * EXP(LN(50/20) * ((HOUR(Q335)*60 + MINUTE(Q335) - 30) / 30)), 2) * R335 * (1 - S335)))</f>
        <v/>
      </c>
      <c r="P335" t="str" cm="1">
        <f t="array" aca="1" ref="P335" ca="1">IF(AND(A335&lt;&gt;"", C335&lt;&gt;""),
   SUMPRODUCT(--(TEXT(DATE(YEAR(TODAY()), MONTH(TODAY()), ROW(INDIRECT("1:" &amp; DAY(EOMONTH(TODAY(), 0))))), "dddd")=C335)),
   "")</f>
        <v/>
      </c>
      <c r="Q335" s="12"/>
      <c r="R335" s="11" t="str">
        <f t="shared" si="23"/>
        <v/>
      </c>
      <c r="U335" s="13"/>
    </row>
    <row r="336" spans="2:21" ht="18" x14ac:dyDescent="0.35">
      <c r="B336" t="str">
        <f>IF(A336="", "", IF(Q336="", "", IF(Q336=TIME(0,30,0), "Half Hour", IF(Q336=TIME(1,0,0), "Hour", TEXT(Q336*1440, "0") &amp; " Minutes"))))</f>
        <v/>
      </c>
      <c r="D336" s="9" t="str">
        <f t="shared" si="24"/>
        <v/>
      </c>
      <c r="E336" t="str">
        <f t="shared" si="25"/>
        <v/>
      </c>
      <c r="F336" s="9" t="str">
        <f t="shared" si="26"/>
        <v/>
      </c>
      <c r="G336" s="10"/>
      <c r="H336" s="10" t="str">
        <f>IF(A336="","",G336+Q336)</f>
        <v/>
      </c>
      <c r="M336" t="str">
        <f>IF(A336="","",IF(Q336="", "", ROUND(20 * EXP(LN(50/20) * ((HOUR(Q336)*60 + MINUTE(Q336) - 30) / 30)), 2) * R336 * (1 - S336)))</f>
        <v/>
      </c>
      <c r="P336" t="str" cm="1">
        <f t="array" aca="1" ref="P336" ca="1">IF(AND(A336&lt;&gt;"", C336&lt;&gt;""),
   SUMPRODUCT(--(TEXT(DATE(YEAR(TODAY()), MONTH(TODAY()), ROW(INDIRECT("1:" &amp; DAY(EOMONTH(TODAY(), 0))))), "dddd")=C336)),
   "")</f>
        <v/>
      </c>
      <c r="Q336" s="12"/>
      <c r="R336" s="11" t="str">
        <f t="shared" si="23"/>
        <v/>
      </c>
      <c r="U336" s="13"/>
    </row>
    <row r="337" spans="2:21" ht="18" x14ac:dyDescent="0.35">
      <c r="B337" t="str">
        <f>IF(A337="", "", IF(Q337="", "", IF(Q337=TIME(0,30,0), "Half Hour", IF(Q337=TIME(1,0,0), "Hour", TEXT(Q337*1440, "0") &amp; " Minutes"))))</f>
        <v/>
      </c>
      <c r="D337" s="9" t="str">
        <f t="shared" si="24"/>
        <v/>
      </c>
      <c r="E337" t="str">
        <f t="shared" si="25"/>
        <v/>
      </c>
      <c r="F337" s="9" t="str">
        <f t="shared" si="26"/>
        <v/>
      </c>
      <c r="G337" s="10"/>
      <c r="H337" s="10" t="str">
        <f>IF(A337="","",G337+Q337)</f>
        <v/>
      </c>
      <c r="M337" t="str">
        <f>IF(A337="","",IF(Q337="", "", ROUND(20 * EXP(LN(50/20) * ((HOUR(Q337)*60 + MINUTE(Q337) - 30) / 30)), 2) * R337 * (1 - S337)))</f>
        <v/>
      </c>
      <c r="P337" t="str" cm="1">
        <f t="array" aca="1" ref="P337" ca="1">IF(AND(A337&lt;&gt;"", C337&lt;&gt;""),
   SUMPRODUCT(--(TEXT(DATE(YEAR(TODAY()), MONTH(TODAY()), ROW(INDIRECT("1:" &amp; DAY(EOMONTH(TODAY(), 0))))), "dddd")=C337)),
   "")</f>
        <v/>
      </c>
      <c r="Q337" s="12"/>
      <c r="R337" s="11" t="str">
        <f t="shared" si="23"/>
        <v/>
      </c>
      <c r="U337" s="13"/>
    </row>
    <row r="338" spans="2:21" ht="18" x14ac:dyDescent="0.35">
      <c r="B338" t="str">
        <f>IF(A338="", "", IF(Q338="", "", IF(Q338=TIME(0,30,0), "Half Hour", IF(Q338=TIME(1,0,0), "Hour", TEXT(Q338*1440, "0") &amp; " Minutes"))))</f>
        <v/>
      </c>
      <c r="D338" s="9" t="str">
        <f t="shared" si="24"/>
        <v/>
      </c>
      <c r="E338" t="str">
        <f t="shared" si="25"/>
        <v/>
      </c>
      <c r="F338" s="9" t="str">
        <f t="shared" si="26"/>
        <v/>
      </c>
      <c r="G338" s="10"/>
      <c r="H338" s="10" t="str">
        <f>IF(A338="","",G338+Q338)</f>
        <v/>
      </c>
      <c r="M338" t="str">
        <f>IF(A338="","",IF(Q338="", "", ROUND(20 * EXP(LN(50/20) * ((HOUR(Q338)*60 + MINUTE(Q338) - 30) / 30)), 2) * R338 * (1 - S338)))</f>
        <v/>
      </c>
      <c r="P338" t="str" cm="1">
        <f t="array" aca="1" ref="P338" ca="1">IF(AND(A338&lt;&gt;"", C338&lt;&gt;""),
   SUMPRODUCT(--(TEXT(DATE(YEAR(TODAY()), MONTH(TODAY()), ROW(INDIRECT("1:" &amp; DAY(EOMONTH(TODAY(), 0))))), "dddd")=C338)),
   "")</f>
        <v/>
      </c>
      <c r="Q338" s="12"/>
      <c r="R338" s="11" t="str">
        <f t="shared" si="23"/>
        <v/>
      </c>
      <c r="U338" s="13"/>
    </row>
    <row r="339" spans="2:21" ht="18" x14ac:dyDescent="0.35">
      <c r="B339" t="str">
        <f>IF(A339="", "", IF(Q339="", "", IF(Q339=TIME(0,30,0), "Half Hour", IF(Q339=TIME(1,0,0), "Hour", TEXT(Q339*1440, "0") &amp; " Minutes"))))</f>
        <v/>
      </c>
      <c r="D339" s="9" t="str">
        <f t="shared" si="24"/>
        <v/>
      </c>
      <c r="E339" t="str">
        <f t="shared" si="25"/>
        <v/>
      </c>
      <c r="F339" s="9" t="str">
        <f t="shared" si="26"/>
        <v/>
      </c>
      <c r="G339" s="10"/>
      <c r="H339" s="10" t="str">
        <f>IF(A339="","",G339+Q339)</f>
        <v/>
      </c>
      <c r="M339" t="str">
        <f>IF(A339="","",IF(Q339="", "", ROUND(20 * EXP(LN(50/20) * ((HOUR(Q339)*60 + MINUTE(Q339) - 30) / 30)), 2) * R339 * (1 - S339)))</f>
        <v/>
      </c>
      <c r="P339" t="str" cm="1">
        <f t="array" aca="1" ref="P339" ca="1">IF(AND(A339&lt;&gt;"", C339&lt;&gt;""),
   SUMPRODUCT(--(TEXT(DATE(YEAR(TODAY()), MONTH(TODAY()), ROW(INDIRECT("1:" &amp; DAY(EOMONTH(TODAY(), 0))))), "dddd")=C339)),
   "")</f>
        <v/>
      </c>
      <c r="Q339" s="12"/>
      <c r="R339" s="11" t="str">
        <f t="shared" si="23"/>
        <v/>
      </c>
      <c r="U339" s="13"/>
    </row>
    <row r="340" spans="2:21" ht="18" x14ac:dyDescent="0.35">
      <c r="B340" t="str">
        <f>IF(A340="", "", IF(Q340="", "", IF(Q340=TIME(0,30,0), "Half Hour", IF(Q340=TIME(1,0,0), "Hour", TEXT(Q340*1440, "0") &amp; " Minutes"))))</f>
        <v/>
      </c>
      <c r="D340" s="9" t="str">
        <f t="shared" si="24"/>
        <v/>
      </c>
      <c r="E340" t="str">
        <f t="shared" si="25"/>
        <v/>
      </c>
      <c r="F340" s="9" t="str">
        <f t="shared" si="26"/>
        <v/>
      </c>
      <c r="G340" s="10"/>
      <c r="H340" s="10" t="str">
        <f>IF(A340="","",G340+Q340)</f>
        <v/>
      </c>
      <c r="M340" t="str">
        <f>IF(A340="","",IF(Q340="", "", ROUND(20 * EXP(LN(50/20) * ((HOUR(Q340)*60 + MINUTE(Q340) - 30) / 30)), 2) * R340 * (1 - S340)))</f>
        <v/>
      </c>
      <c r="P340" t="str" cm="1">
        <f t="array" aca="1" ref="P340" ca="1">IF(AND(A340&lt;&gt;"", C340&lt;&gt;""),
   SUMPRODUCT(--(TEXT(DATE(YEAR(TODAY()), MONTH(TODAY()), ROW(INDIRECT("1:" &amp; DAY(EOMONTH(TODAY(), 0))))), "dddd")=C340)),
   "")</f>
        <v/>
      </c>
      <c r="Q340" s="12"/>
      <c r="R340" s="11" t="str">
        <f t="shared" si="23"/>
        <v/>
      </c>
      <c r="U340" s="13"/>
    </row>
    <row r="341" spans="2:21" ht="18" x14ac:dyDescent="0.35">
      <c r="B341" t="str">
        <f>IF(A341="", "", IF(Q341="", "", IF(Q341=TIME(0,30,0), "Half Hour", IF(Q341=TIME(1,0,0), "Hour", TEXT(Q341*1440, "0") &amp; " Minutes"))))</f>
        <v/>
      </c>
      <c r="D341" s="9" t="str">
        <f t="shared" si="24"/>
        <v/>
      </c>
      <c r="E341" t="str">
        <f t="shared" si="25"/>
        <v/>
      </c>
      <c r="F341" s="9" t="str">
        <f t="shared" si="26"/>
        <v/>
      </c>
      <c r="G341" s="10"/>
      <c r="H341" s="10" t="str">
        <f>IF(A341="","",G341+Q341)</f>
        <v/>
      </c>
      <c r="M341" t="str">
        <f>IF(A341="","",IF(Q341="", "", ROUND(20 * EXP(LN(50/20) * ((HOUR(Q341)*60 + MINUTE(Q341) - 30) / 30)), 2) * R341 * (1 - S341)))</f>
        <v/>
      </c>
      <c r="P341" t="str" cm="1">
        <f t="array" aca="1" ref="P341" ca="1">IF(AND(A341&lt;&gt;"", C341&lt;&gt;""),
   SUMPRODUCT(--(TEXT(DATE(YEAR(TODAY()), MONTH(TODAY()), ROW(INDIRECT("1:" &amp; DAY(EOMONTH(TODAY(), 0))))), "dddd")=C341)),
   "")</f>
        <v/>
      </c>
      <c r="Q341" s="12"/>
      <c r="R341" s="11" t="str">
        <f t="shared" si="23"/>
        <v/>
      </c>
      <c r="U341" s="13"/>
    </row>
    <row r="342" spans="2:21" ht="18" x14ac:dyDescent="0.35">
      <c r="B342" t="str">
        <f>IF(A342="", "", IF(Q342="", "", IF(Q342=TIME(0,30,0), "Half Hour", IF(Q342=TIME(1,0,0), "Hour", TEXT(Q342*1440, "0") &amp; " Minutes"))))</f>
        <v/>
      </c>
      <c r="D342" s="9" t="str">
        <f t="shared" si="24"/>
        <v/>
      </c>
      <c r="E342" t="str">
        <f t="shared" si="25"/>
        <v/>
      </c>
      <c r="F342" s="9" t="str">
        <f t="shared" si="26"/>
        <v/>
      </c>
      <c r="G342" s="10"/>
      <c r="H342" s="10" t="str">
        <f>IF(A342="","",G342+Q342)</f>
        <v/>
      </c>
      <c r="M342" t="str">
        <f>IF(A342="","",IF(Q342="", "", ROUND(20 * EXP(LN(50/20) * ((HOUR(Q342)*60 + MINUTE(Q342) - 30) / 30)), 2) * R342 * (1 - S342)))</f>
        <v/>
      </c>
      <c r="P342" t="str" cm="1">
        <f t="array" aca="1" ref="P342" ca="1">IF(AND(A342&lt;&gt;"", C342&lt;&gt;""),
   SUMPRODUCT(--(TEXT(DATE(YEAR(TODAY()), MONTH(TODAY()), ROW(INDIRECT("1:" &amp; DAY(EOMONTH(TODAY(), 0))))), "dddd")=C342)),
   "")</f>
        <v/>
      </c>
      <c r="Q342" s="12"/>
      <c r="R342" s="11" t="str">
        <f t="shared" si="23"/>
        <v/>
      </c>
      <c r="U342" s="13"/>
    </row>
    <row r="343" spans="2:21" ht="18" x14ac:dyDescent="0.35">
      <c r="B343" t="str">
        <f>IF(A343="", "", IF(Q343="", "", IF(Q343=TIME(0,30,0), "Half Hour", IF(Q343=TIME(1,0,0), "Hour", TEXT(Q343*1440, "0") &amp; " Minutes"))))</f>
        <v/>
      </c>
      <c r="D343" s="9" t="str">
        <f t="shared" si="24"/>
        <v/>
      </c>
      <c r="E343" t="str">
        <f t="shared" si="25"/>
        <v/>
      </c>
      <c r="F343" s="9" t="str">
        <f t="shared" si="26"/>
        <v/>
      </c>
      <c r="G343" s="10"/>
      <c r="H343" s="10" t="str">
        <f>IF(A343="","",G343+Q343)</f>
        <v/>
      </c>
      <c r="M343" t="str">
        <f>IF(A343="","",IF(Q343="", "", ROUND(20 * EXP(LN(50/20) * ((HOUR(Q343)*60 + MINUTE(Q343) - 30) / 30)), 2) * R343 * (1 - S343)))</f>
        <v/>
      </c>
      <c r="P343" t="str" cm="1">
        <f t="array" aca="1" ref="P343" ca="1">IF(AND(A343&lt;&gt;"", C343&lt;&gt;""),
   SUMPRODUCT(--(TEXT(DATE(YEAR(TODAY()), MONTH(TODAY()), ROW(INDIRECT("1:" &amp; DAY(EOMONTH(TODAY(), 0))))), "dddd")=C343)),
   "")</f>
        <v/>
      </c>
      <c r="Q343" s="12"/>
      <c r="R343" s="11" t="str">
        <f t="shared" si="23"/>
        <v/>
      </c>
      <c r="U343" s="13"/>
    </row>
    <row r="344" spans="2:21" ht="18" x14ac:dyDescent="0.35">
      <c r="B344" t="str">
        <f>IF(A344="", "", IF(Q344="", "", IF(Q344=TIME(0,30,0), "Half Hour", IF(Q344=TIME(1,0,0), "Hour", TEXT(Q344*1440, "0") &amp; " Minutes"))))</f>
        <v/>
      </c>
      <c r="D344" s="9" t="str">
        <f t="shared" si="24"/>
        <v/>
      </c>
      <c r="E344" t="str">
        <f t="shared" si="25"/>
        <v/>
      </c>
      <c r="F344" s="9" t="str">
        <f t="shared" si="26"/>
        <v/>
      </c>
      <c r="G344" s="10"/>
      <c r="H344" s="10" t="str">
        <f>IF(A344="","",G344+Q344)</f>
        <v/>
      </c>
      <c r="M344" t="str">
        <f>IF(A344="","",IF(Q344="", "", ROUND(20 * EXP(LN(50/20) * ((HOUR(Q344)*60 + MINUTE(Q344) - 30) / 30)), 2) * R344 * (1 - S344)))</f>
        <v/>
      </c>
      <c r="P344" t="str" cm="1">
        <f t="array" aca="1" ref="P344" ca="1">IF(AND(A344&lt;&gt;"", C344&lt;&gt;""),
   SUMPRODUCT(--(TEXT(DATE(YEAR(TODAY()), MONTH(TODAY()), ROW(INDIRECT("1:" &amp; DAY(EOMONTH(TODAY(), 0))))), "dddd")=C344)),
   "")</f>
        <v/>
      </c>
      <c r="Q344" s="12"/>
      <c r="R344" s="11" t="str">
        <f t="shared" si="23"/>
        <v/>
      </c>
      <c r="U344" s="13"/>
    </row>
    <row r="345" spans="2:21" ht="18" x14ac:dyDescent="0.35">
      <c r="B345" t="str">
        <f>IF(A345="", "", IF(Q345="", "", IF(Q345=TIME(0,30,0), "Half Hour", IF(Q345=TIME(1,0,0), "Hour", TEXT(Q345*1440, "0") &amp; " Minutes"))))</f>
        <v/>
      </c>
      <c r="D345" s="9" t="str">
        <f t="shared" si="24"/>
        <v/>
      </c>
      <c r="E345" t="str">
        <f t="shared" si="25"/>
        <v/>
      </c>
      <c r="F345" s="9" t="str">
        <f t="shared" si="26"/>
        <v/>
      </c>
      <c r="G345" s="10"/>
      <c r="H345" s="10" t="str">
        <f>IF(A345="","",G345+Q345)</f>
        <v/>
      </c>
      <c r="M345" t="str">
        <f>IF(A345="","",IF(Q345="", "", ROUND(20 * EXP(LN(50/20) * ((HOUR(Q345)*60 + MINUTE(Q345) - 30) / 30)), 2) * R345 * (1 - S345)))</f>
        <v/>
      </c>
      <c r="P345" t="str" cm="1">
        <f t="array" aca="1" ref="P345" ca="1">IF(AND(A345&lt;&gt;"", C345&lt;&gt;""),
   SUMPRODUCT(--(TEXT(DATE(YEAR(TODAY()), MONTH(TODAY()), ROW(INDIRECT("1:" &amp; DAY(EOMONTH(TODAY(), 0))))), "dddd")=C345)),
   "")</f>
        <v/>
      </c>
      <c r="Q345" s="12"/>
      <c r="R345" s="11" t="str">
        <f t="shared" si="23"/>
        <v/>
      </c>
      <c r="U345" s="13"/>
    </row>
    <row r="346" spans="2:21" ht="18" x14ac:dyDescent="0.35">
      <c r="B346" t="str">
        <f>IF(A346="", "", IF(Q346="", "", IF(Q346=TIME(0,30,0), "Half Hour", IF(Q346=TIME(1,0,0), "Hour", TEXT(Q346*1440, "0") &amp; " Minutes"))))</f>
        <v/>
      </c>
      <c r="D346" s="9" t="str">
        <f t="shared" si="24"/>
        <v/>
      </c>
      <c r="E346" t="str">
        <f t="shared" si="25"/>
        <v/>
      </c>
      <c r="F346" s="9" t="str">
        <f t="shared" si="26"/>
        <v/>
      </c>
      <c r="G346" s="10"/>
      <c r="H346" s="10" t="str">
        <f>IF(A346="","",G346+Q346)</f>
        <v/>
      </c>
      <c r="M346" t="str">
        <f>IF(A346="","",IF(Q346="", "", ROUND(20 * EXP(LN(50/20) * ((HOUR(Q346)*60 + MINUTE(Q346) - 30) / 30)), 2) * R346 * (1 - S346)))</f>
        <v/>
      </c>
      <c r="P346" t="str" cm="1">
        <f t="array" aca="1" ref="P346" ca="1">IF(AND(A346&lt;&gt;"", C346&lt;&gt;""),
   SUMPRODUCT(--(TEXT(DATE(YEAR(TODAY()), MONTH(TODAY()), ROW(INDIRECT("1:" &amp; DAY(EOMONTH(TODAY(), 0))))), "dddd")=C346)),
   "")</f>
        <v/>
      </c>
      <c r="Q346" s="12"/>
      <c r="R346" s="11" t="str">
        <f t="shared" si="23"/>
        <v/>
      </c>
      <c r="U346" s="13"/>
    </row>
    <row r="347" spans="2:21" ht="18" x14ac:dyDescent="0.35">
      <c r="B347" t="str">
        <f>IF(A347="", "", IF(Q347="", "", IF(Q347=TIME(0,30,0), "Half Hour", IF(Q347=TIME(1,0,0), "Hour", TEXT(Q347*1440, "0") &amp; " Minutes"))))</f>
        <v/>
      </c>
      <c r="D347" s="9" t="str">
        <f t="shared" si="24"/>
        <v/>
      </c>
      <c r="E347" t="str">
        <f t="shared" si="25"/>
        <v/>
      </c>
      <c r="F347" s="9" t="str">
        <f t="shared" si="26"/>
        <v/>
      </c>
      <c r="G347" s="10"/>
      <c r="H347" s="10" t="str">
        <f>IF(A347="","",G347+Q347)</f>
        <v/>
      </c>
      <c r="M347" t="str">
        <f>IF(A347="","",IF(Q347="", "", ROUND(20 * EXP(LN(50/20) * ((HOUR(Q347)*60 + MINUTE(Q347) - 30) / 30)), 2) * R347 * (1 - S347)))</f>
        <v/>
      </c>
      <c r="P347" t="str" cm="1">
        <f t="array" aca="1" ref="P347" ca="1">IF(AND(A347&lt;&gt;"", C347&lt;&gt;""),
   SUMPRODUCT(--(TEXT(DATE(YEAR(TODAY()), MONTH(TODAY()), ROW(INDIRECT("1:" &amp; DAY(EOMONTH(TODAY(), 0))))), "dddd")=C347)),
   "")</f>
        <v/>
      </c>
      <c r="Q347" s="12"/>
      <c r="R347" s="11" t="str">
        <f t="shared" si="23"/>
        <v/>
      </c>
      <c r="U347" s="13"/>
    </row>
    <row r="348" spans="2:21" ht="18" x14ac:dyDescent="0.35">
      <c r="B348" t="str">
        <f>IF(A348="", "", IF(Q348="", "", IF(Q348=TIME(0,30,0), "Half Hour", IF(Q348=TIME(1,0,0), "Hour", TEXT(Q348*1440, "0") &amp; " Minutes"))))</f>
        <v/>
      </c>
      <c r="D348" s="9" t="str">
        <f t="shared" si="24"/>
        <v/>
      </c>
      <c r="E348" t="str">
        <f t="shared" si="25"/>
        <v/>
      </c>
      <c r="F348" s="9" t="str">
        <f t="shared" si="26"/>
        <v/>
      </c>
      <c r="G348" s="10"/>
      <c r="H348" s="10" t="str">
        <f>IF(A348="","",G348+Q348)</f>
        <v/>
      </c>
      <c r="M348" t="str">
        <f>IF(A348="","",IF(Q348="", "", ROUND(20 * EXP(LN(50/20) * ((HOUR(Q348)*60 + MINUTE(Q348) - 30) / 30)), 2) * R348 * (1 - S348)))</f>
        <v/>
      </c>
      <c r="P348" t="str" cm="1">
        <f t="array" aca="1" ref="P348" ca="1">IF(AND(A348&lt;&gt;"", C348&lt;&gt;""),
   SUMPRODUCT(--(TEXT(DATE(YEAR(TODAY()), MONTH(TODAY()), ROW(INDIRECT("1:" &amp; DAY(EOMONTH(TODAY(), 0))))), "dddd")=C348)),
   "")</f>
        <v/>
      </c>
      <c r="Q348" s="12"/>
      <c r="R348" s="11" t="str">
        <f t="shared" si="23"/>
        <v/>
      </c>
      <c r="U348" s="13"/>
    </row>
    <row r="349" spans="2:21" ht="18" x14ac:dyDescent="0.35">
      <c r="B349" t="str">
        <f>IF(A349="", "", IF(Q349="", "", IF(Q349=TIME(0,30,0), "Half Hour", IF(Q349=TIME(1,0,0), "Hour", TEXT(Q349*1440, "0") &amp; " Minutes"))))</f>
        <v/>
      </c>
      <c r="D349" s="9" t="str">
        <f t="shared" si="24"/>
        <v/>
      </c>
      <c r="E349" t="str">
        <f t="shared" si="25"/>
        <v/>
      </c>
      <c r="F349" s="9" t="str">
        <f t="shared" si="26"/>
        <v/>
      </c>
      <c r="G349" s="10"/>
      <c r="H349" s="10" t="str">
        <f>IF(A349="","",G349+Q349)</f>
        <v/>
      </c>
      <c r="M349" t="str">
        <f>IF(A349="","",IF(Q349="", "", ROUND(20 * EXP(LN(50/20) * ((HOUR(Q349)*60 + MINUTE(Q349) - 30) / 30)), 2) * R349 * (1 - S349)))</f>
        <v/>
      </c>
      <c r="P349" t="str" cm="1">
        <f t="array" aca="1" ref="P349" ca="1">IF(AND(A349&lt;&gt;"", C349&lt;&gt;""),
   SUMPRODUCT(--(TEXT(DATE(YEAR(TODAY()), MONTH(TODAY()), ROW(INDIRECT("1:" &amp; DAY(EOMONTH(TODAY(), 0))))), "dddd")=C349)),
   "")</f>
        <v/>
      </c>
      <c r="Q349" s="12"/>
      <c r="R349" s="11" t="str">
        <f t="shared" si="23"/>
        <v/>
      </c>
      <c r="U349" s="13"/>
    </row>
    <row r="350" spans="2:21" ht="18" x14ac:dyDescent="0.35">
      <c r="B350" t="str">
        <f>IF(A350="", "", IF(Q350="", "", IF(Q350=TIME(0,30,0), "Half Hour", IF(Q350=TIME(1,0,0), "Hour", TEXT(Q350*1440, "0") &amp; " Minutes"))))</f>
        <v/>
      </c>
      <c r="D350" s="9" t="str">
        <f t="shared" si="24"/>
        <v/>
      </c>
      <c r="E350" t="str">
        <f t="shared" si="25"/>
        <v/>
      </c>
      <c r="F350" s="9" t="str">
        <f t="shared" si="26"/>
        <v/>
      </c>
      <c r="G350" s="10"/>
      <c r="H350" s="10" t="str">
        <f>IF(A350="","",G350+Q350)</f>
        <v/>
      </c>
      <c r="M350" t="str">
        <f>IF(A350="","",IF(Q350="", "", ROUND(20 * EXP(LN(50/20) * ((HOUR(Q350)*60 + MINUTE(Q350) - 30) / 30)), 2) * R350 * (1 - S350)))</f>
        <v/>
      </c>
      <c r="P350" t="str" cm="1">
        <f t="array" aca="1" ref="P350" ca="1">IF(AND(A350&lt;&gt;"", C350&lt;&gt;""),
   SUMPRODUCT(--(TEXT(DATE(YEAR(TODAY()), MONTH(TODAY()), ROW(INDIRECT("1:" &amp; DAY(EOMONTH(TODAY(), 0))))), "dddd")=C350)),
   "")</f>
        <v/>
      </c>
      <c r="Q350" s="12"/>
      <c r="R350" s="11" t="str">
        <f t="shared" si="23"/>
        <v/>
      </c>
      <c r="U350" s="13"/>
    </row>
    <row r="351" spans="2:21" ht="18" x14ac:dyDescent="0.35">
      <c r="B351" t="str">
        <f>IF(A351="", "", IF(Q351="", "", IF(Q351=TIME(0,30,0), "Half Hour", IF(Q351=TIME(1,0,0), "Hour", TEXT(Q351*1440, "0") &amp; " Minutes"))))</f>
        <v/>
      </c>
      <c r="D351" s="9" t="str">
        <f t="shared" si="24"/>
        <v/>
      </c>
      <c r="E351" t="str">
        <f t="shared" si="25"/>
        <v/>
      </c>
      <c r="F351" s="9" t="str">
        <f t="shared" si="26"/>
        <v/>
      </c>
      <c r="G351" s="10"/>
      <c r="H351" s="10" t="str">
        <f>IF(A351="","",G351+Q351)</f>
        <v/>
      </c>
      <c r="M351" t="str">
        <f>IF(A351="","",IF(Q351="", "", ROUND(20 * EXP(LN(50/20) * ((HOUR(Q351)*60 + MINUTE(Q351) - 30) / 30)), 2) * R351 * (1 - S351)))</f>
        <v/>
      </c>
      <c r="P351" t="str" cm="1">
        <f t="array" aca="1" ref="P351" ca="1">IF(AND(A351&lt;&gt;"", C351&lt;&gt;""),
   SUMPRODUCT(--(TEXT(DATE(YEAR(TODAY()), MONTH(TODAY()), ROW(INDIRECT("1:" &amp; DAY(EOMONTH(TODAY(), 0))))), "dddd")=C351)),
   "")</f>
        <v/>
      </c>
      <c r="Q351" s="12"/>
      <c r="R351" s="11" t="str">
        <f t="shared" si="23"/>
        <v/>
      </c>
      <c r="U351" s="13"/>
    </row>
    <row r="352" spans="2:21" ht="18" x14ac:dyDescent="0.35">
      <c r="B352" t="str">
        <f>IF(A352="", "", IF(Q352="", "", IF(Q352=TIME(0,30,0), "Half Hour", IF(Q352=TIME(1,0,0), "Hour", TEXT(Q352*1440, "0") &amp; " Minutes"))))</f>
        <v/>
      </c>
      <c r="D352" s="9" t="str">
        <f t="shared" si="24"/>
        <v/>
      </c>
      <c r="E352" t="str">
        <f t="shared" si="25"/>
        <v/>
      </c>
      <c r="F352" s="9" t="str">
        <f t="shared" si="26"/>
        <v/>
      </c>
      <c r="G352" s="10"/>
      <c r="H352" s="10" t="str">
        <f>IF(A352="","",G352+Q352)</f>
        <v/>
      </c>
      <c r="M352" t="str">
        <f>IF(A352="","",IF(Q352="", "", ROUND(20 * EXP(LN(50/20) * ((HOUR(Q352)*60 + MINUTE(Q352) - 30) / 30)), 2) * R352 * (1 - S352)))</f>
        <v/>
      </c>
      <c r="P352" t="str" cm="1">
        <f t="array" aca="1" ref="P352" ca="1">IF(AND(A352&lt;&gt;"", C352&lt;&gt;""),
   SUMPRODUCT(--(TEXT(DATE(YEAR(TODAY()), MONTH(TODAY()), ROW(INDIRECT("1:" &amp; DAY(EOMONTH(TODAY(), 0))))), "dddd")=C352)),
   "")</f>
        <v/>
      </c>
      <c r="Q352" s="12"/>
      <c r="R352" s="11" t="str">
        <f t="shared" si="23"/>
        <v/>
      </c>
      <c r="U352" s="13"/>
    </row>
    <row r="353" spans="2:21" ht="18" x14ac:dyDescent="0.35">
      <c r="B353" t="str">
        <f>IF(A353="", "", IF(Q353="", "", IF(Q353=TIME(0,30,0), "Half Hour", IF(Q353=TIME(1,0,0), "Hour", TEXT(Q353*1440, "0") &amp; " Minutes"))))</f>
        <v/>
      </c>
      <c r="D353" s="9" t="str">
        <f t="shared" si="24"/>
        <v/>
      </c>
      <c r="E353" t="str">
        <f t="shared" si="25"/>
        <v/>
      </c>
      <c r="F353" s="9" t="str">
        <f t="shared" si="26"/>
        <v/>
      </c>
      <c r="G353" s="10"/>
      <c r="H353" s="10" t="str">
        <f>IF(A353="","",G353+Q353)</f>
        <v/>
      </c>
      <c r="M353" t="str">
        <f>IF(A353="","",IF(Q353="", "", ROUND(20 * EXP(LN(50/20) * ((HOUR(Q353)*60 + MINUTE(Q353) - 30) / 30)), 2) * R353 * (1 - S353)))</f>
        <v/>
      </c>
      <c r="P353" t="str" cm="1">
        <f t="array" aca="1" ref="P353" ca="1">IF(AND(A353&lt;&gt;"", C353&lt;&gt;""),
   SUMPRODUCT(--(TEXT(DATE(YEAR(TODAY()), MONTH(TODAY()), ROW(INDIRECT("1:" &amp; DAY(EOMONTH(TODAY(), 0))))), "dddd")=C353)),
   "")</f>
        <v/>
      </c>
      <c r="Q353" s="12"/>
      <c r="R353" s="11" t="str">
        <f t="shared" si="23"/>
        <v/>
      </c>
      <c r="U353" s="13"/>
    </row>
    <row r="354" spans="2:21" ht="18" x14ac:dyDescent="0.35">
      <c r="B354" t="str">
        <f>IF(A354="", "", IF(Q354="", "", IF(Q354=TIME(0,30,0), "Half Hour", IF(Q354=TIME(1,0,0), "Hour", TEXT(Q354*1440, "0") &amp; " Minutes"))))</f>
        <v/>
      </c>
      <c r="D354" s="9" t="str">
        <f t="shared" si="24"/>
        <v/>
      </c>
      <c r="E354" t="str">
        <f t="shared" si="25"/>
        <v/>
      </c>
      <c r="F354" s="9" t="str">
        <f t="shared" si="26"/>
        <v/>
      </c>
      <c r="G354" s="10"/>
      <c r="H354" s="10" t="str">
        <f>IF(A354="","",G354+Q354)</f>
        <v/>
      </c>
      <c r="M354" t="str">
        <f>IF(A354="","",IF(Q354="", "", ROUND(20 * EXP(LN(50/20) * ((HOUR(Q354)*60 + MINUTE(Q354) - 30) / 30)), 2) * R354 * (1 - S354)))</f>
        <v/>
      </c>
      <c r="P354" t="str" cm="1">
        <f t="array" aca="1" ref="P354" ca="1">IF(AND(A354&lt;&gt;"", C354&lt;&gt;""),
   SUMPRODUCT(--(TEXT(DATE(YEAR(TODAY()), MONTH(TODAY()), ROW(INDIRECT("1:" &amp; DAY(EOMONTH(TODAY(), 0))))), "dddd")=C354)),
   "")</f>
        <v/>
      </c>
      <c r="Q354" s="12"/>
      <c r="R354" s="11" t="str">
        <f t="shared" si="23"/>
        <v/>
      </c>
      <c r="U354" s="13"/>
    </row>
    <row r="355" spans="2:21" ht="18" x14ac:dyDescent="0.35">
      <c r="B355" t="str">
        <f>IF(A355="", "", IF(Q355="", "", IF(Q355=TIME(0,30,0), "Half Hour", IF(Q355=TIME(1,0,0), "Hour", TEXT(Q355*1440, "0") &amp; " Minutes"))))</f>
        <v/>
      </c>
      <c r="D355" s="9" t="str">
        <f t="shared" si="24"/>
        <v/>
      </c>
      <c r="E355" t="str">
        <f t="shared" si="25"/>
        <v/>
      </c>
      <c r="F355" s="9" t="str">
        <f t="shared" si="26"/>
        <v/>
      </c>
      <c r="G355" s="10"/>
      <c r="H355" s="10" t="str">
        <f>IF(A355="","",G355+Q355)</f>
        <v/>
      </c>
      <c r="M355" t="str">
        <f>IF(A355="","",IF(Q355="", "", ROUND(20 * EXP(LN(50/20) * ((HOUR(Q355)*60 + MINUTE(Q355) - 30) / 30)), 2) * R355 * (1 - S355)))</f>
        <v/>
      </c>
      <c r="P355" t="str" cm="1">
        <f t="array" aca="1" ref="P355" ca="1">IF(AND(A355&lt;&gt;"", C355&lt;&gt;""),
   SUMPRODUCT(--(TEXT(DATE(YEAR(TODAY()), MONTH(TODAY()), ROW(INDIRECT("1:" &amp; DAY(EOMONTH(TODAY(), 0))))), "dddd")=C355)),
   "")</f>
        <v/>
      </c>
      <c r="Q355" s="12"/>
      <c r="R355" s="11" t="str">
        <f t="shared" si="23"/>
        <v/>
      </c>
      <c r="U355" s="13"/>
    </row>
    <row r="356" spans="2:21" ht="18" x14ac:dyDescent="0.35">
      <c r="B356" t="str">
        <f>IF(A356="", "", IF(Q356="", "", IF(Q356=TIME(0,30,0), "Half Hour", IF(Q356=TIME(1,0,0), "Hour", TEXT(Q356*1440, "0") &amp; " Minutes"))))</f>
        <v/>
      </c>
      <c r="D356" s="9" t="str">
        <f t="shared" si="24"/>
        <v/>
      </c>
      <c r="E356" t="str">
        <f t="shared" si="25"/>
        <v/>
      </c>
      <c r="F356" s="9" t="str">
        <f t="shared" si="26"/>
        <v/>
      </c>
      <c r="G356" s="10"/>
      <c r="H356" s="10" t="str">
        <f>IF(A356="","",G356+Q356)</f>
        <v/>
      </c>
      <c r="M356" t="str">
        <f>IF(A356="","",IF(Q356="", "", ROUND(20 * EXP(LN(50/20) * ((HOUR(Q356)*60 + MINUTE(Q356) - 30) / 30)), 2) * R356 * (1 - S356)))</f>
        <v/>
      </c>
      <c r="P356" t="str" cm="1">
        <f t="array" aca="1" ref="P356" ca="1">IF(AND(A356&lt;&gt;"", C356&lt;&gt;""),
   SUMPRODUCT(--(TEXT(DATE(YEAR(TODAY()), MONTH(TODAY()), ROW(INDIRECT("1:" &amp; DAY(EOMONTH(TODAY(), 0))))), "dddd")=C356)),
   "")</f>
        <v/>
      </c>
      <c r="Q356" s="12"/>
      <c r="R356" s="11" t="str">
        <f t="shared" si="23"/>
        <v/>
      </c>
      <c r="U356" s="13"/>
    </row>
    <row r="357" spans="2:21" ht="18" x14ac:dyDescent="0.35">
      <c r="B357" t="str">
        <f>IF(A357="", "", IF(Q357="", "", IF(Q357=TIME(0,30,0), "Half Hour", IF(Q357=TIME(1,0,0), "Hour", TEXT(Q357*1440, "0") &amp; " Minutes"))))</f>
        <v/>
      </c>
      <c r="D357" s="9" t="str">
        <f t="shared" si="24"/>
        <v/>
      </c>
      <c r="E357" t="str">
        <f t="shared" si="25"/>
        <v/>
      </c>
      <c r="F357" s="9" t="str">
        <f t="shared" si="26"/>
        <v/>
      </c>
      <c r="G357" s="10"/>
      <c r="H357" s="10" t="str">
        <f>IF(A357="","",G357+Q357)</f>
        <v/>
      </c>
      <c r="M357" t="str">
        <f>IF(A357="","",IF(Q357="", "", ROUND(20 * EXP(LN(50/20) * ((HOUR(Q357)*60 + MINUTE(Q357) - 30) / 30)), 2) * R357 * (1 - S357)))</f>
        <v/>
      </c>
      <c r="P357" t="str" cm="1">
        <f t="array" aca="1" ref="P357" ca="1">IF(AND(A357&lt;&gt;"", C357&lt;&gt;""),
   SUMPRODUCT(--(TEXT(DATE(YEAR(TODAY()), MONTH(TODAY()), ROW(INDIRECT("1:" &amp; DAY(EOMONTH(TODAY(), 0))))), "dddd")=C357)),
   "")</f>
        <v/>
      </c>
      <c r="Q357" s="12"/>
      <c r="R357" s="11" t="str">
        <f t="shared" si="23"/>
        <v/>
      </c>
      <c r="U357" s="13"/>
    </row>
    <row r="358" spans="2:21" ht="18" x14ac:dyDescent="0.35">
      <c r="B358" t="str">
        <f>IF(A358="", "", IF(Q358="", "", IF(Q358=TIME(0,30,0), "Half Hour", IF(Q358=TIME(1,0,0), "Hour", TEXT(Q358*1440, "0") &amp; " Minutes"))))</f>
        <v/>
      </c>
      <c r="D358" s="9" t="str">
        <f t="shared" si="24"/>
        <v/>
      </c>
      <c r="E358" t="str">
        <f t="shared" si="25"/>
        <v/>
      </c>
      <c r="F358" s="9" t="str">
        <f t="shared" si="26"/>
        <v/>
      </c>
      <c r="G358" s="10"/>
      <c r="H358" s="10" t="str">
        <f>IF(A358="","",G358+Q358)</f>
        <v/>
      </c>
      <c r="M358" t="str">
        <f>IF(A358="","",IF(Q358="", "", ROUND(20 * EXP(LN(50/20) * ((HOUR(Q358)*60 + MINUTE(Q358) - 30) / 30)), 2) * R358 * (1 - S358)))</f>
        <v/>
      </c>
      <c r="P358" t="str" cm="1">
        <f t="array" aca="1" ref="P358" ca="1">IF(AND(A358&lt;&gt;"", C358&lt;&gt;""),
   SUMPRODUCT(--(TEXT(DATE(YEAR(TODAY()), MONTH(TODAY()), ROW(INDIRECT("1:" &amp; DAY(EOMONTH(TODAY(), 0))))), "dddd")=C358)),
   "")</f>
        <v/>
      </c>
      <c r="Q358" s="12"/>
      <c r="R358" s="11" t="str">
        <f t="shared" si="23"/>
        <v/>
      </c>
      <c r="U358" s="13"/>
    </row>
    <row r="359" spans="2:21" ht="18" x14ac:dyDescent="0.35">
      <c r="B359" t="str">
        <f>IF(A359="", "", IF(Q359="", "", IF(Q359=TIME(0,30,0), "Half Hour", IF(Q359=TIME(1,0,0), "Hour", TEXT(Q359*1440, "0") &amp; " Minutes"))))</f>
        <v/>
      </c>
      <c r="D359" s="9" t="str">
        <f t="shared" si="24"/>
        <v/>
      </c>
      <c r="E359" t="str">
        <f t="shared" si="25"/>
        <v/>
      </c>
      <c r="F359" s="9" t="str">
        <f t="shared" si="26"/>
        <v/>
      </c>
      <c r="G359" s="10"/>
      <c r="H359" s="10" t="str">
        <f>IF(A359="","",G359+Q359)</f>
        <v/>
      </c>
      <c r="M359" t="str">
        <f>IF(A359="","",IF(Q359="", "", ROUND(20 * EXP(LN(50/20) * ((HOUR(Q359)*60 + MINUTE(Q359) - 30) / 30)), 2) * R359 * (1 - S359)))</f>
        <v/>
      </c>
      <c r="P359" t="str" cm="1">
        <f t="array" aca="1" ref="P359" ca="1">IF(AND(A359&lt;&gt;"", C359&lt;&gt;""),
   SUMPRODUCT(--(TEXT(DATE(YEAR(TODAY()), MONTH(TODAY()), ROW(INDIRECT("1:" &amp; DAY(EOMONTH(TODAY(), 0))))), "dddd")=C359)),
   "")</f>
        <v/>
      </c>
      <c r="Q359" s="12"/>
      <c r="R359" s="11" t="str">
        <f t="shared" si="23"/>
        <v/>
      </c>
      <c r="U359" s="13"/>
    </row>
    <row r="360" spans="2:21" ht="18" x14ac:dyDescent="0.35">
      <c r="B360" t="str">
        <f>IF(A360="", "", IF(Q360="", "", IF(Q360=TIME(0,30,0), "Half Hour", IF(Q360=TIME(1,0,0), "Hour", TEXT(Q360*1440, "0") &amp; " Minutes"))))</f>
        <v/>
      </c>
      <c r="D360" s="9" t="str">
        <f t="shared" si="24"/>
        <v/>
      </c>
      <c r="E360" t="str">
        <f t="shared" si="25"/>
        <v/>
      </c>
      <c r="F360" s="9" t="str">
        <f t="shared" si="26"/>
        <v/>
      </c>
      <c r="G360" s="10"/>
      <c r="H360" s="10" t="str">
        <f>IF(A360="","",G360+Q360)</f>
        <v/>
      </c>
      <c r="M360" t="str">
        <f>IF(A360="","",IF(Q360="", "", ROUND(20 * EXP(LN(50/20) * ((HOUR(Q360)*60 + MINUTE(Q360) - 30) / 30)), 2) * R360 * (1 - S360)))</f>
        <v/>
      </c>
      <c r="P360" t="str" cm="1">
        <f t="array" aca="1" ref="P360" ca="1">IF(AND(A360&lt;&gt;"", C360&lt;&gt;""),
   SUMPRODUCT(--(TEXT(DATE(YEAR(TODAY()), MONTH(TODAY()), ROW(INDIRECT("1:" &amp; DAY(EOMONTH(TODAY(), 0))))), "dddd")=C360)),
   "")</f>
        <v/>
      </c>
      <c r="Q360" s="12"/>
      <c r="R360" s="11" t="str">
        <f t="shared" si="23"/>
        <v/>
      </c>
      <c r="U360" s="13"/>
    </row>
    <row r="361" spans="2:21" ht="18" x14ac:dyDescent="0.35">
      <c r="B361" t="str">
        <f>IF(A361="", "", IF(Q361="", "", IF(Q361=TIME(0,30,0), "Half Hour", IF(Q361=TIME(1,0,0), "Hour", TEXT(Q361*1440, "0") &amp; " Minutes"))))</f>
        <v/>
      </c>
      <c r="D361" s="9" t="str">
        <f t="shared" si="24"/>
        <v/>
      </c>
      <c r="E361" t="str">
        <f t="shared" si="25"/>
        <v/>
      </c>
      <c r="F361" s="9" t="str">
        <f t="shared" si="26"/>
        <v/>
      </c>
      <c r="G361" s="10"/>
      <c r="H361" s="10" t="str">
        <f>IF(A361="","",G361+Q361)</f>
        <v/>
      </c>
      <c r="M361" t="str">
        <f>IF(A361="","",IF(Q361="", "", ROUND(20 * EXP(LN(50/20) * ((HOUR(Q361)*60 + MINUTE(Q361) - 30) / 30)), 2) * R361 * (1 - S361)))</f>
        <v/>
      </c>
      <c r="P361" t="str" cm="1">
        <f t="array" aca="1" ref="P361" ca="1">IF(AND(A361&lt;&gt;"", C361&lt;&gt;""),
   SUMPRODUCT(--(TEXT(DATE(YEAR(TODAY()), MONTH(TODAY()), ROW(INDIRECT("1:" &amp; DAY(EOMONTH(TODAY(), 0))))), "dddd")=C361)),
   "")</f>
        <v/>
      </c>
      <c r="Q361" s="12"/>
      <c r="R361" s="11" t="str">
        <f t="shared" si="23"/>
        <v/>
      </c>
      <c r="U361" s="13"/>
    </row>
    <row r="362" spans="2:21" ht="18" x14ac:dyDescent="0.35">
      <c r="B362" t="str">
        <f>IF(A362="", "", IF(Q362="", "", IF(Q362=TIME(0,30,0), "Half Hour", IF(Q362=TIME(1,0,0), "Hour", TEXT(Q362*1440, "0") &amp; " Minutes"))))</f>
        <v/>
      </c>
      <c r="D362" s="9" t="str">
        <f t="shared" si="24"/>
        <v/>
      </c>
      <c r="E362" t="str">
        <f t="shared" si="25"/>
        <v/>
      </c>
      <c r="F362" s="9" t="str">
        <f t="shared" si="26"/>
        <v/>
      </c>
      <c r="G362" s="10"/>
      <c r="H362" s="10" t="str">
        <f>IF(A362="","",G362+Q362)</f>
        <v/>
      </c>
      <c r="M362" t="str">
        <f>IF(A362="","",IF(Q362="", "", ROUND(20 * EXP(LN(50/20) * ((HOUR(Q362)*60 + MINUTE(Q362) - 30) / 30)), 2) * R362 * (1 - S362)))</f>
        <v/>
      </c>
      <c r="P362" t="str" cm="1">
        <f t="array" aca="1" ref="P362" ca="1">IF(AND(A362&lt;&gt;"", C362&lt;&gt;""),
   SUMPRODUCT(--(TEXT(DATE(YEAR(TODAY()), MONTH(TODAY()), ROW(INDIRECT("1:" &amp; DAY(EOMONTH(TODAY(), 0))))), "dddd")=C362)),
   "")</f>
        <v/>
      </c>
      <c r="Q362" s="12"/>
      <c r="R362" s="11" t="str">
        <f t="shared" si="23"/>
        <v/>
      </c>
      <c r="U362" s="13"/>
    </row>
    <row r="363" spans="2:21" ht="18" x14ac:dyDescent="0.35">
      <c r="B363" t="str">
        <f>IF(A363="", "", IF(Q363="", "", IF(Q363=TIME(0,30,0), "Half Hour", IF(Q363=TIME(1,0,0), "Hour", TEXT(Q363*1440, "0") &amp; " Minutes"))))</f>
        <v/>
      </c>
      <c r="D363" s="9" t="str">
        <f t="shared" si="24"/>
        <v/>
      </c>
      <c r="E363" t="str">
        <f t="shared" si="25"/>
        <v/>
      </c>
      <c r="F363" s="9" t="str">
        <f t="shared" si="26"/>
        <v/>
      </c>
      <c r="G363" s="10"/>
      <c r="H363" s="10" t="str">
        <f>IF(A363="","",G363+Q363)</f>
        <v/>
      </c>
      <c r="M363" t="str">
        <f>IF(A363="","",IF(Q363="", "", ROUND(20 * EXP(LN(50/20) * ((HOUR(Q363)*60 + MINUTE(Q363) - 30) / 30)), 2) * R363 * (1 - S363)))</f>
        <v/>
      </c>
      <c r="P363" t="str" cm="1">
        <f t="array" aca="1" ref="P363" ca="1">IF(AND(A363&lt;&gt;"", C363&lt;&gt;""),
   SUMPRODUCT(--(TEXT(DATE(YEAR(TODAY()), MONTH(TODAY()), ROW(INDIRECT("1:" &amp; DAY(EOMONTH(TODAY(), 0))))), "dddd")=C363)),
   "")</f>
        <v/>
      </c>
      <c r="Q363" s="12"/>
      <c r="R363" s="11" t="str">
        <f t="shared" si="23"/>
        <v/>
      </c>
      <c r="U363" s="13"/>
    </row>
    <row r="364" spans="2:21" ht="18" x14ac:dyDescent="0.35">
      <c r="B364" t="str">
        <f>IF(A364="", "", IF(Q364="", "", IF(Q364=TIME(0,30,0), "Half Hour", IF(Q364=TIME(1,0,0), "Hour", TEXT(Q364*1440, "0") &amp; " Minutes"))))</f>
        <v/>
      </c>
      <c r="D364" s="9" t="str">
        <f t="shared" si="24"/>
        <v/>
      </c>
      <c r="E364" t="str">
        <f t="shared" si="25"/>
        <v/>
      </c>
      <c r="F364" s="9" t="str">
        <f t="shared" si="26"/>
        <v/>
      </c>
      <c r="G364" s="10"/>
      <c r="H364" s="10" t="str">
        <f>IF(A364="","",G364+Q364)</f>
        <v/>
      </c>
      <c r="M364" t="str">
        <f>IF(A364="","",IF(Q364="", "", ROUND(20 * EXP(LN(50/20) * ((HOUR(Q364)*60 + MINUTE(Q364) - 30) / 30)), 2) * R364 * (1 - S364)))</f>
        <v/>
      </c>
      <c r="P364" t="str" cm="1">
        <f t="array" aca="1" ref="P364" ca="1">IF(AND(A364&lt;&gt;"", C364&lt;&gt;""),
   SUMPRODUCT(--(TEXT(DATE(YEAR(TODAY()), MONTH(TODAY()), ROW(INDIRECT("1:" &amp; DAY(EOMONTH(TODAY(), 0))))), "dddd")=C364)),
   "")</f>
        <v/>
      </c>
      <c r="Q364" s="12"/>
      <c r="R364" s="11" t="str">
        <f t="shared" si="23"/>
        <v/>
      </c>
      <c r="U364" s="13"/>
    </row>
    <row r="365" spans="2:21" ht="18" x14ac:dyDescent="0.35">
      <c r="B365" t="str">
        <f>IF(A365="", "", IF(Q365="", "", IF(Q365=TIME(0,30,0), "Half Hour", IF(Q365=TIME(1,0,0), "Hour", TEXT(Q365*1440, "0") &amp; " Minutes"))))</f>
        <v/>
      </c>
      <c r="D365" s="9" t="str">
        <f t="shared" si="24"/>
        <v/>
      </c>
      <c r="E365" t="str">
        <f t="shared" si="25"/>
        <v/>
      </c>
      <c r="F365" s="9" t="str">
        <f t="shared" si="26"/>
        <v/>
      </c>
      <c r="G365" s="10"/>
      <c r="H365" s="10" t="str">
        <f>IF(A365="","",G365+Q365)</f>
        <v/>
      </c>
      <c r="M365" t="str">
        <f>IF(A365="","",IF(Q365="", "", ROUND(20 * EXP(LN(50/20) * ((HOUR(Q365)*60 + MINUTE(Q365) - 30) / 30)), 2) * R365 * (1 - S365)))</f>
        <v/>
      </c>
      <c r="P365" t="str" cm="1">
        <f t="array" aca="1" ref="P365" ca="1">IF(AND(A365&lt;&gt;"", C365&lt;&gt;""),
   SUMPRODUCT(--(TEXT(DATE(YEAR(TODAY()), MONTH(TODAY()), ROW(INDIRECT("1:" &amp; DAY(EOMONTH(TODAY(), 0))))), "dddd")=C365)),
   "")</f>
        <v/>
      </c>
      <c r="Q365" s="12"/>
      <c r="R365" s="11" t="str">
        <f t="shared" si="23"/>
        <v/>
      </c>
      <c r="U365" s="13"/>
    </row>
    <row r="366" spans="2:21" ht="18" x14ac:dyDescent="0.35">
      <c r="B366" t="str">
        <f>IF(A366="", "", IF(Q366="", "", IF(Q366=TIME(0,30,0), "Half Hour", IF(Q366=TIME(1,0,0), "Hour", TEXT(Q366*1440, "0") &amp; " Minutes"))))</f>
        <v/>
      </c>
      <c r="D366" s="9" t="str">
        <f t="shared" si="24"/>
        <v/>
      </c>
      <c r="E366" t="str">
        <f t="shared" si="25"/>
        <v/>
      </c>
      <c r="F366" s="9" t="str">
        <f t="shared" si="26"/>
        <v/>
      </c>
      <c r="G366" s="10"/>
      <c r="H366" s="10" t="str">
        <f>IF(A366="","",G366+Q366)</f>
        <v/>
      </c>
      <c r="M366" t="str">
        <f>IF(A366="","",IF(Q366="", "", ROUND(20 * EXP(LN(50/20) * ((HOUR(Q366)*60 + MINUTE(Q366) - 30) / 30)), 2) * R366 * (1 - S366)))</f>
        <v/>
      </c>
      <c r="P366" t="str" cm="1">
        <f t="array" aca="1" ref="P366" ca="1">IF(AND(A366&lt;&gt;"", C366&lt;&gt;""),
   SUMPRODUCT(--(TEXT(DATE(YEAR(TODAY()), MONTH(TODAY()), ROW(INDIRECT("1:" &amp; DAY(EOMONTH(TODAY(), 0))))), "dddd")=C366)),
   "")</f>
        <v/>
      </c>
      <c r="Q366" s="12"/>
      <c r="R366" s="11" t="str">
        <f t="shared" si="23"/>
        <v/>
      </c>
      <c r="U366" s="13"/>
    </row>
    <row r="367" spans="2:21" ht="18" x14ac:dyDescent="0.35">
      <c r="B367" t="str">
        <f>IF(A367="", "", IF(Q367="", "", IF(Q367=TIME(0,30,0), "Half Hour", IF(Q367=TIME(1,0,0), "Hour", TEXT(Q367*1440, "0") &amp; " Minutes"))))</f>
        <v/>
      </c>
      <c r="D367" s="9" t="str">
        <f t="shared" si="24"/>
        <v/>
      </c>
      <c r="E367" t="str">
        <f t="shared" si="25"/>
        <v/>
      </c>
      <c r="F367" s="9" t="str">
        <f t="shared" si="26"/>
        <v/>
      </c>
      <c r="G367" s="10"/>
      <c r="H367" s="10" t="str">
        <f>IF(A367="","",G367+Q367)</f>
        <v/>
      </c>
      <c r="M367" t="str">
        <f>IF(A367="","",IF(Q367="", "", ROUND(20 * EXP(LN(50/20) * ((HOUR(Q367)*60 + MINUTE(Q367) - 30) / 30)), 2) * R367 * (1 - S367)))</f>
        <v/>
      </c>
      <c r="P367" t="str" cm="1">
        <f t="array" aca="1" ref="P367" ca="1">IF(AND(A367&lt;&gt;"", C367&lt;&gt;""),
   SUMPRODUCT(--(TEXT(DATE(YEAR(TODAY()), MONTH(TODAY()), ROW(INDIRECT("1:" &amp; DAY(EOMONTH(TODAY(), 0))))), "dddd")=C367)),
   "")</f>
        <v/>
      </c>
      <c r="Q367" s="12"/>
      <c r="R367" s="11" t="str">
        <f t="shared" si="23"/>
        <v/>
      </c>
      <c r="U367" s="13"/>
    </row>
    <row r="368" spans="2:21" ht="18" x14ac:dyDescent="0.35">
      <c r="B368" t="str">
        <f>IF(A368="", "", IF(Q368="", "", IF(Q368=TIME(0,30,0), "Half Hour", IF(Q368=TIME(1,0,0), "Hour", TEXT(Q368*1440, "0") &amp; " Minutes"))))</f>
        <v/>
      </c>
      <c r="D368" s="9" t="str">
        <f t="shared" si="24"/>
        <v/>
      </c>
      <c r="E368" t="str">
        <f t="shared" si="25"/>
        <v/>
      </c>
      <c r="F368" s="9" t="str">
        <f t="shared" si="26"/>
        <v/>
      </c>
      <c r="G368" s="10"/>
      <c r="H368" s="10" t="str">
        <f>IF(A368="","",G368+Q368)</f>
        <v/>
      </c>
      <c r="M368" t="str">
        <f>IF(A368="","",IF(Q368="", "", ROUND(20 * EXP(LN(50/20) * ((HOUR(Q368)*60 + MINUTE(Q368) - 30) / 30)), 2) * R368 * (1 - S368)))</f>
        <v/>
      </c>
      <c r="P368" t="str" cm="1">
        <f t="array" aca="1" ref="P368" ca="1">IF(AND(A368&lt;&gt;"", C368&lt;&gt;""),
   SUMPRODUCT(--(TEXT(DATE(YEAR(TODAY()), MONTH(TODAY()), ROW(INDIRECT("1:" &amp; DAY(EOMONTH(TODAY(), 0))))), "dddd")=C368)),
   "")</f>
        <v/>
      </c>
      <c r="Q368" s="12"/>
      <c r="R368" s="11" t="str">
        <f t="shared" si="23"/>
        <v/>
      </c>
      <c r="U368" s="13"/>
    </row>
    <row r="369" spans="2:21" ht="18" x14ac:dyDescent="0.35">
      <c r="B369" t="str">
        <f>IF(A369="", "", IF(Q369="", "", IF(Q369=TIME(0,30,0), "Half Hour", IF(Q369=TIME(1,0,0), "Hour", TEXT(Q369*1440, "0") &amp; " Minutes"))))</f>
        <v/>
      </c>
      <c r="D369" s="9" t="str">
        <f t="shared" si="24"/>
        <v/>
      </c>
      <c r="E369" t="str">
        <f t="shared" si="25"/>
        <v/>
      </c>
      <c r="F369" s="9" t="str">
        <f t="shared" si="26"/>
        <v/>
      </c>
      <c r="G369" s="10"/>
      <c r="H369" s="10" t="str">
        <f>IF(A369="","",G369+Q369)</f>
        <v/>
      </c>
      <c r="M369" t="str">
        <f>IF(A369="","",IF(Q369="", "", ROUND(20 * EXP(LN(50/20) * ((HOUR(Q369)*60 + MINUTE(Q369) - 30) / 30)), 2) * R369 * (1 - S369)))</f>
        <v/>
      </c>
      <c r="P369" t="str" cm="1">
        <f t="array" aca="1" ref="P369" ca="1">IF(AND(A369&lt;&gt;"", C369&lt;&gt;""),
   SUMPRODUCT(--(TEXT(DATE(YEAR(TODAY()), MONTH(TODAY()), ROW(INDIRECT("1:" &amp; DAY(EOMONTH(TODAY(), 0))))), "dddd")=C369)),
   "")</f>
        <v/>
      </c>
      <c r="Q369" s="12"/>
      <c r="R369" s="11" t="str">
        <f t="shared" si="23"/>
        <v/>
      </c>
      <c r="U369" s="13"/>
    </row>
    <row r="370" spans="2:21" ht="18" x14ac:dyDescent="0.35">
      <c r="B370" t="str">
        <f>IF(A370="", "", IF(Q370="", "", IF(Q370=TIME(0,30,0), "Half Hour", IF(Q370=TIME(1,0,0), "Hour", TEXT(Q370*1440, "0") &amp; " Minutes"))))</f>
        <v/>
      </c>
      <c r="D370" s="9" t="str">
        <f t="shared" si="24"/>
        <v/>
      </c>
      <c r="E370" t="str">
        <f t="shared" si="25"/>
        <v/>
      </c>
      <c r="F370" s="9" t="str">
        <f t="shared" si="26"/>
        <v/>
      </c>
      <c r="G370" s="10"/>
      <c r="H370" s="10" t="str">
        <f>IF(A370="","",G370+Q370)</f>
        <v/>
      </c>
      <c r="M370" t="str">
        <f>IF(A370="","",IF(Q370="", "", ROUND(20 * EXP(LN(50/20) * ((HOUR(Q370)*60 + MINUTE(Q370) - 30) / 30)), 2) * R370 * (1 - S370)))</f>
        <v/>
      </c>
      <c r="P370" t="str" cm="1">
        <f t="array" aca="1" ref="P370" ca="1">IF(AND(A370&lt;&gt;"", C370&lt;&gt;""),
   SUMPRODUCT(--(TEXT(DATE(YEAR(TODAY()), MONTH(TODAY()), ROW(INDIRECT("1:" &amp; DAY(EOMONTH(TODAY(), 0))))), "dddd")=C370)),
   "")</f>
        <v/>
      </c>
      <c r="Q370" s="12"/>
      <c r="R370" s="11" t="str">
        <f t="shared" si="23"/>
        <v/>
      </c>
      <c r="U370" s="13"/>
    </row>
    <row r="371" spans="2:21" ht="18" x14ac:dyDescent="0.35">
      <c r="B371" t="str">
        <f>IF(A371="", "", IF(Q371="", "", IF(Q371=TIME(0,30,0), "Half Hour", IF(Q371=TIME(1,0,0), "Hour", TEXT(Q371*1440, "0") &amp; " Minutes"))))</f>
        <v/>
      </c>
      <c r="D371" s="9" t="str">
        <f t="shared" si="24"/>
        <v/>
      </c>
      <c r="E371" t="str">
        <f t="shared" si="25"/>
        <v/>
      </c>
      <c r="F371" s="9" t="str">
        <f t="shared" si="26"/>
        <v/>
      </c>
      <c r="G371" s="10"/>
      <c r="H371" s="10" t="str">
        <f>IF(A371="","",G371+Q371)</f>
        <v/>
      </c>
      <c r="M371" t="str">
        <f>IF(A371="","",IF(Q371="", "", ROUND(20 * EXP(LN(50/20) * ((HOUR(Q371)*60 + MINUTE(Q371) - 30) / 30)), 2) * R371 * (1 - S371)))</f>
        <v/>
      </c>
      <c r="P371" t="str" cm="1">
        <f t="array" aca="1" ref="P371" ca="1">IF(AND(A371&lt;&gt;"", C371&lt;&gt;""),
   SUMPRODUCT(--(TEXT(DATE(YEAR(TODAY()), MONTH(TODAY()), ROW(INDIRECT("1:" &amp; DAY(EOMONTH(TODAY(), 0))))), "dddd")=C371)),
   "")</f>
        <v/>
      </c>
      <c r="Q371" s="12"/>
      <c r="R371" s="11" t="str">
        <f t="shared" si="23"/>
        <v/>
      </c>
      <c r="U371" s="13"/>
    </row>
    <row r="372" spans="2:21" ht="18" x14ac:dyDescent="0.35">
      <c r="B372" t="str">
        <f>IF(A372="", "", IF(Q372="", "", IF(Q372=TIME(0,30,0), "Half Hour", IF(Q372=TIME(1,0,0), "Hour", TEXT(Q372*1440, "0") &amp; " Minutes"))))</f>
        <v/>
      </c>
      <c r="D372" s="9" t="str">
        <f t="shared" si="24"/>
        <v/>
      </c>
      <c r="E372" t="str">
        <f t="shared" si="25"/>
        <v/>
      </c>
      <c r="F372" s="9" t="str">
        <f t="shared" si="26"/>
        <v/>
      </c>
      <c r="G372" s="10"/>
      <c r="H372" s="10" t="str">
        <f>IF(A372="","",G372+Q372)</f>
        <v/>
      </c>
      <c r="M372" t="str">
        <f>IF(A372="","",IF(Q372="", "", ROUND(20 * EXP(LN(50/20) * ((HOUR(Q372)*60 + MINUTE(Q372) - 30) / 30)), 2) * R372 * (1 - S372)))</f>
        <v/>
      </c>
      <c r="P372" t="str" cm="1">
        <f t="array" aca="1" ref="P372" ca="1">IF(AND(A372&lt;&gt;"", C372&lt;&gt;""),
   SUMPRODUCT(--(TEXT(DATE(YEAR(TODAY()), MONTH(TODAY()), ROW(INDIRECT("1:" &amp; DAY(EOMONTH(TODAY(), 0))))), "dddd")=C372)),
   "")</f>
        <v/>
      </c>
      <c r="Q372" s="12"/>
      <c r="R372" s="11" t="str">
        <f t="shared" si="23"/>
        <v/>
      </c>
      <c r="U372" s="13"/>
    </row>
    <row r="373" spans="2:21" ht="18" x14ac:dyDescent="0.35">
      <c r="B373" t="str">
        <f>IF(A373="", "", IF(Q373="", "", IF(Q373=TIME(0,30,0), "Half Hour", IF(Q373=TIME(1,0,0), "Hour", TEXT(Q373*1440, "0") &amp; " Minutes"))))</f>
        <v/>
      </c>
      <c r="D373" s="9" t="str">
        <f t="shared" si="24"/>
        <v/>
      </c>
      <c r="E373" t="str">
        <f t="shared" si="25"/>
        <v/>
      </c>
      <c r="F373" s="9" t="str">
        <f t="shared" si="26"/>
        <v/>
      </c>
      <c r="G373" s="10"/>
      <c r="H373" s="10" t="str">
        <f>IF(A373="","",G373+Q373)</f>
        <v/>
      </c>
      <c r="M373" t="str">
        <f>IF(A373="","",IF(Q373="", "", ROUND(20 * EXP(LN(50/20) * ((HOUR(Q373)*60 + MINUTE(Q373) - 30) / 30)), 2) * R373 * (1 - S373)))</f>
        <v/>
      </c>
      <c r="P373" t="str" cm="1">
        <f t="array" aca="1" ref="P373" ca="1">IF(AND(A373&lt;&gt;"", C373&lt;&gt;""),
   SUMPRODUCT(--(TEXT(DATE(YEAR(TODAY()), MONTH(TODAY()), ROW(INDIRECT("1:" &amp; DAY(EOMONTH(TODAY(), 0))))), "dddd")=C373)),
   "")</f>
        <v/>
      </c>
      <c r="Q373" s="12"/>
      <c r="R373" s="11" t="str">
        <f t="shared" si="23"/>
        <v/>
      </c>
      <c r="U373" s="13"/>
    </row>
    <row r="374" spans="2:21" ht="18" x14ac:dyDescent="0.35">
      <c r="B374" t="str">
        <f>IF(A374="", "", IF(Q374="", "", IF(Q374=TIME(0,30,0), "Half Hour", IF(Q374=TIME(1,0,0), "Hour", TEXT(Q374*1440, "0") &amp; " Minutes"))))</f>
        <v/>
      </c>
      <c r="D374" s="9" t="str">
        <f t="shared" si="24"/>
        <v/>
      </c>
      <c r="E374" t="str">
        <f t="shared" si="25"/>
        <v/>
      </c>
      <c r="F374" s="9" t="str">
        <f t="shared" si="26"/>
        <v/>
      </c>
      <c r="G374" s="10"/>
      <c r="H374" s="10" t="str">
        <f>IF(A374="","",G374+Q374)</f>
        <v/>
      </c>
      <c r="M374" t="str">
        <f>IF(A374="","",IF(Q374="", "", ROUND(20 * EXP(LN(50/20) * ((HOUR(Q374)*60 + MINUTE(Q374) - 30) / 30)), 2) * R374 * (1 - S374)))</f>
        <v/>
      </c>
      <c r="P374" t="str" cm="1">
        <f t="array" aca="1" ref="P374" ca="1">IF(AND(A374&lt;&gt;"", C374&lt;&gt;""),
   SUMPRODUCT(--(TEXT(DATE(YEAR(TODAY()), MONTH(TODAY()), ROW(INDIRECT("1:" &amp; DAY(EOMONTH(TODAY(), 0))))), "dddd")=C374)),
   "")</f>
        <v/>
      </c>
      <c r="Q374" s="12"/>
      <c r="R374" s="11" t="str">
        <f t="shared" si="23"/>
        <v/>
      </c>
      <c r="U374" s="13"/>
    </row>
    <row r="375" spans="2:21" ht="18" x14ac:dyDescent="0.35">
      <c r="B375" t="str">
        <f>IF(A375="", "", IF(Q375="", "", IF(Q375=TIME(0,30,0), "Half Hour", IF(Q375=TIME(1,0,0), "Hour", TEXT(Q375*1440, "0") &amp; " Minutes"))))</f>
        <v/>
      </c>
      <c r="D375" s="9" t="str">
        <f t="shared" si="24"/>
        <v/>
      </c>
      <c r="E375" t="str">
        <f t="shared" si="25"/>
        <v/>
      </c>
      <c r="F375" s="9" t="str">
        <f t="shared" si="26"/>
        <v/>
      </c>
      <c r="G375" s="10"/>
      <c r="H375" s="10" t="str">
        <f>IF(A375="","",G375+Q375)</f>
        <v/>
      </c>
      <c r="M375" t="str">
        <f>IF(A375="","",IF(Q375="", "", ROUND(20 * EXP(LN(50/20) * ((HOUR(Q375)*60 + MINUTE(Q375) - 30) / 30)), 2) * R375 * (1 - S375)))</f>
        <v/>
      </c>
      <c r="P375" t="str" cm="1">
        <f t="array" aca="1" ref="P375" ca="1">IF(AND(A375&lt;&gt;"", C375&lt;&gt;""),
   SUMPRODUCT(--(TEXT(DATE(YEAR(TODAY()), MONTH(TODAY()), ROW(INDIRECT("1:" &amp; DAY(EOMONTH(TODAY(), 0))))), "dddd")=C375)),
   "")</f>
        <v/>
      </c>
      <c r="Q375" s="12"/>
      <c r="R375" s="11" t="str">
        <f t="shared" si="23"/>
        <v/>
      </c>
      <c r="U375" s="13"/>
    </row>
    <row r="376" spans="2:21" ht="18" x14ac:dyDescent="0.35">
      <c r="B376" t="str">
        <f>IF(A376="", "", IF(Q376="", "", IF(Q376=TIME(0,30,0), "Half Hour", IF(Q376=TIME(1,0,0), "Hour", TEXT(Q376*1440, "0") &amp; " Minutes"))))</f>
        <v/>
      </c>
      <c r="D376" s="9" t="str">
        <f t="shared" si="24"/>
        <v/>
      </c>
      <c r="E376" t="str">
        <f t="shared" si="25"/>
        <v/>
      </c>
      <c r="F376" s="9" t="str">
        <f t="shared" si="26"/>
        <v/>
      </c>
      <c r="G376" s="10"/>
      <c r="H376" s="10" t="str">
        <f>IF(A376="","",G376+Q376)</f>
        <v/>
      </c>
      <c r="M376" t="str">
        <f>IF(A376="","",IF(Q376="", "", ROUND(20 * EXP(LN(50/20) * ((HOUR(Q376)*60 + MINUTE(Q376) - 30) / 30)), 2) * R376 * (1 - S376)))</f>
        <v/>
      </c>
      <c r="P376" t="str" cm="1">
        <f t="array" aca="1" ref="P376" ca="1">IF(AND(A376&lt;&gt;"", C376&lt;&gt;""),
   SUMPRODUCT(--(TEXT(DATE(YEAR(TODAY()), MONTH(TODAY()), ROW(INDIRECT("1:" &amp; DAY(EOMONTH(TODAY(), 0))))), "dddd")=C376)),
   "")</f>
        <v/>
      </c>
      <c r="Q376" s="12"/>
      <c r="R376" s="11" t="str">
        <f t="shared" si="23"/>
        <v/>
      </c>
      <c r="U376" s="13"/>
    </row>
    <row r="377" spans="2:21" ht="18" x14ac:dyDescent="0.35">
      <c r="B377" t="str">
        <f>IF(A377="", "", IF(Q377="", "", IF(Q377=TIME(0,30,0), "Half Hour", IF(Q377=TIME(1,0,0), "Hour", TEXT(Q377*1440, "0") &amp; " Minutes"))))</f>
        <v/>
      </c>
      <c r="D377" s="9" t="str">
        <f t="shared" si="24"/>
        <v/>
      </c>
      <c r="E377" t="str">
        <f t="shared" si="25"/>
        <v/>
      </c>
      <c r="F377" s="9" t="str">
        <f t="shared" si="26"/>
        <v/>
      </c>
      <c r="G377" s="10"/>
      <c r="H377" s="10" t="str">
        <f>IF(A377="","",G377+Q377)</f>
        <v/>
      </c>
      <c r="M377" t="str">
        <f>IF(A377="","",IF(Q377="", "", ROUND(20 * EXP(LN(50/20) * ((HOUR(Q377)*60 + MINUTE(Q377) - 30) / 30)), 2) * R377 * (1 - S377)))</f>
        <v/>
      </c>
      <c r="P377" t="str" cm="1">
        <f t="array" aca="1" ref="P377" ca="1">IF(AND(A377&lt;&gt;"", C377&lt;&gt;""),
   SUMPRODUCT(--(TEXT(DATE(YEAR(TODAY()), MONTH(TODAY()), ROW(INDIRECT("1:" &amp; DAY(EOMONTH(TODAY(), 0))))), "dddd")=C377)),
   "")</f>
        <v/>
      </c>
      <c r="Q377" s="12"/>
      <c r="R377" s="11" t="str">
        <f t="shared" si="23"/>
        <v/>
      </c>
      <c r="U377" s="13"/>
    </row>
    <row r="378" spans="2:21" ht="18" x14ac:dyDescent="0.35">
      <c r="B378" t="str">
        <f>IF(A378="", "", IF(Q378="", "", IF(Q378=TIME(0,30,0), "Half Hour", IF(Q378=TIME(1,0,0), "Hour", TEXT(Q378*1440, "0") &amp; " Minutes"))))</f>
        <v/>
      </c>
      <c r="D378" s="9" t="str">
        <f t="shared" si="24"/>
        <v/>
      </c>
      <c r="E378" t="str">
        <f t="shared" si="25"/>
        <v/>
      </c>
      <c r="F378" s="9" t="str">
        <f t="shared" si="26"/>
        <v/>
      </c>
      <c r="G378" s="10"/>
      <c r="H378" s="10" t="str">
        <f>IF(A378="","",G378+Q378)</f>
        <v/>
      </c>
      <c r="M378" t="str">
        <f>IF(A378="","",IF(Q378="", "", ROUND(20 * EXP(LN(50/20) * ((HOUR(Q378)*60 + MINUTE(Q378) - 30) / 30)), 2) * R378 * (1 - S378)))</f>
        <v/>
      </c>
      <c r="P378" t="str" cm="1">
        <f t="array" aca="1" ref="P378" ca="1">IF(AND(A378&lt;&gt;"", C378&lt;&gt;""),
   SUMPRODUCT(--(TEXT(DATE(YEAR(TODAY()), MONTH(TODAY()), ROW(INDIRECT("1:" &amp; DAY(EOMONTH(TODAY(), 0))))), "dddd")=C378)),
   "")</f>
        <v/>
      </c>
      <c r="Q378" s="12"/>
      <c r="R378" s="11" t="str">
        <f t="shared" si="23"/>
        <v/>
      </c>
      <c r="U378" s="13"/>
    </row>
    <row r="379" spans="2:21" ht="18" x14ac:dyDescent="0.35">
      <c r="B379" t="str">
        <f>IF(A379="", "", IF(Q379="", "", IF(Q379=TIME(0,30,0), "Half Hour", IF(Q379=TIME(1,0,0), "Hour", TEXT(Q379*1440, "0") &amp; " Minutes"))))</f>
        <v/>
      </c>
      <c r="D379" s="9" t="str">
        <f t="shared" si="24"/>
        <v/>
      </c>
      <c r="E379" t="str">
        <f t="shared" si="25"/>
        <v/>
      </c>
      <c r="F379" s="9" t="str">
        <f t="shared" si="26"/>
        <v/>
      </c>
      <c r="G379" s="10"/>
      <c r="H379" s="10" t="str">
        <f>IF(A379="","",G379+Q379)</f>
        <v/>
      </c>
      <c r="M379" t="str">
        <f>IF(A379="","",IF(Q379="", "", ROUND(20 * EXP(LN(50/20) * ((HOUR(Q379)*60 + MINUTE(Q379) - 30) / 30)), 2) * R379 * (1 - S379)))</f>
        <v/>
      </c>
      <c r="P379" t="str" cm="1">
        <f t="array" aca="1" ref="P379" ca="1">IF(AND(A379&lt;&gt;"", C379&lt;&gt;""),
   SUMPRODUCT(--(TEXT(DATE(YEAR(TODAY()), MONTH(TODAY()), ROW(INDIRECT("1:" &amp; DAY(EOMONTH(TODAY(), 0))))), "dddd")=C379)),
   "")</f>
        <v/>
      </c>
      <c r="Q379" s="12"/>
      <c r="R379" s="11" t="str">
        <f t="shared" si="23"/>
        <v/>
      </c>
      <c r="U379" s="13"/>
    </row>
    <row r="380" spans="2:21" ht="18" x14ac:dyDescent="0.35">
      <c r="B380" t="str">
        <f>IF(A380="", "", IF(Q380="", "", IF(Q380=TIME(0,30,0), "Half Hour", IF(Q380=TIME(1,0,0), "Hour", TEXT(Q380*1440, "0") &amp; " Minutes"))))</f>
        <v/>
      </c>
      <c r="D380" s="9" t="str">
        <f t="shared" si="24"/>
        <v/>
      </c>
      <c r="E380" t="str">
        <f t="shared" si="25"/>
        <v/>
      </c>
      <c r="F380" s="9" t="str">
        <f t="shared" si="26"/>
        <v/>
      </c>
      <c r="G380" s="10"/>
      <c r="H380" s="10" t="str">
        <f>IF(A380="","",G380+Q380)</f>
        <v/>
      </c>
      <c r="M380" t="str">
        <f>IF(A380="","",IF(Q380="", "", ROUND(20 * EXP(LN(50/20) * ((HOUR(Q380)*60 + MINUTE(Q380) - 30) / 30)), 2) * R380 * (1 - S380)))</f>
        <v/>
      </c>
      <c r="P380" t="str" cm="1">
        <f t="array" aca="1" ref="P380" ca="1">IF(AND(A380&lt;&gt;"", C380&lt;&gt;""),
   SUMPRODUCT(--(TEXT(DATE(YEAR(TODAY()), MONTH(TODAY()), ROW(INDIRECT("1:" &amp; DAY(EOMONTH(TODAY(), 0))))), "dddd")=C380)),
   "")</f>
        <v/>
      </c>
      <c r="Q380" s="12"/>
      <c r="R380" s="11" t="str">
        <f t="shared" si="23"/>
        <v/>
      </c>
      <c r="U380" s="13"/>
    </row>
    <row r="381" spans="2:21" ht="18" x14ac:dyDescent="0.35">
      <c r="B381" t="str">
        <f>IF(A381="", "", IF(Q381="", "", IF(Q381=TIME(0,30,0), "Half Hour", IF(Q381=TIME(1,0,0), "Hour", TEXT(Q381*1440, "0") &amp; " Minutes"))))</f>
        <v/>
      </c>
      <c r="D381" s="9" t="str">
        <f t="shared" si="24"/>
        <v/>
      </c>
      <c r="E381" t="str">
        <f t="shared" si="25"/>
        <v/>
      </c>
      <c r="F381" s="9" t="str">
        <f t="shared" si="26"/>
        <v/>
      </c>
      <c r="G381" s="10"/>
      <c r="H381" s="10" t="str">
        <f>IF(A381="","",G381+Q381)</f>
        <v/>
      </c>
      <c r="M381" t="str">
        <f>IF(A381="","",IF(Q381="", "", ROUND(20 * EXP(LN(50/20) * ((HOUR(Q381)*60 + MINUTE(Q381) - 30) / 30)), 2) * R381 * (1 - S381)))</f>
        <v/>
      </c>
      <c r="P381" t="str" cm="1">
        <f t="array" aca="1" ref="P381" ca="1">IF(AND(A381&lt;&gt;"", C381&lt;&gt;""),
   SUMPRODUCT(--(TEXT(DATE(YEAR(TODAY()), MONTH(TODAY()), ROW(INDIRECT("1:" &amp; DAY(EOMONTH(TODAY(), 0))))), "dddd")=C381)),
   "")</f>
        <v/>
      </c>
      <c r="Q381" s="12"/>
      <c r="R381" s="11" t="str">
        <f t="shared" si="23"/>
        <v/>
      </c>
      <c r="U381" s="13"/>
    </row>
    <row r="382" spans="2:21" ht="18" x14ac:dyDescent="0.35">
      <c r="B382" t="str">
        <f>IF(A382="", "", IF(Q382="", "", IF(Q382=TIME(0,30,0), "Half Hour", IF(Q382=TIME(1,0,0), "Hour", TEXT(Q382*1440, "0") &amp; " Minutes"))))</f>
        <v/>
      </c>
      <c r="D382" s="9" t="str">
        <f t="shared" si="24"/>
        <v/>
      </c>
      <c r="E382" t="str">
        <f t="shared" si="25"/>
        <v/>
      </c>
      <c r="F382" s="9" t="str">
        <f t="shared" si="26"/>
        <v/>
      </c>
      <c r="G382" s="10"/>
      <c r="H382" s="10" t="str">
        <f>IF(A382="","",G382+Q382)</f>
        <v/>
      </c>
      <c r="M382" t="str">
        <f>IF(A382="","",IF(Q382="", "", ROUND(20 * EXP(LN(50/20) * ((HOUR(Q382)*60 + MINUTE(Q382) - 30) / 30)), 2) * R382 * (1 - S382)))</f>
        <v/>
      </c>
      <c r="P382" t="str" cm="1">
        <f t="array" aca="1" ref="P382" ca="1">IF(AND(A382&lt;&gt;"", C382&lt;&gt;""),
   SUMPRODUCT(--(TEXT(DATE(YEAR(TODAY()), MONTH(TODAY()), ROW(INDIRECT("1:" &amp; DAY(EOMONTH(TODAY(), 0))))), "dddd")=C382)),
   "")</f>
        <v/>
      </c>
      <c r="Q382" s="12"/>
      <c r="R382" s="11" t="str">
        <f t="shared" si="23"/>
        <v/>
      </c>
      <c r="U382" s="13"/>
    </row>
    <row r="383" spans="2:21" ht="18" x14ac:dyDescent="0.35">
      <c r="B383" t="str">
        <f>IF(A383="", "", IF(Q383="", "", IF(Q383=TIME(0,30,0), "Half Hour", IF(Q383=TIME(1,0,0), "Hour", TEXT(Q383*1440, "0") &amp; " Minutes"))))</f>
        <v/>
      </c>
      <c r="D383" s="9" t="str">
        <f t="shared" si="24"/>
        <v/>
      </c>
      <c r="E383" t="str">
        <f t="shared" si="25"/>
        <v/>
      </c>
      <c r="F383" s="9" t="str">
        <f t="shared" si="26"/>
        <v/>
      </c>
      <c r="G383" s="10"/>
      <c r="H383" s="10" t="str">
        <f>IF(A383="","",G383+Q383)</f>
        <v/>
      </c>
      <c r="M383" t="str">
        <f>IF(A383="","",IF(Q383="", "", ROUND(20 * EXP(LN(50/20) * ((HOUR(Q383)*60 + MINUTE(Q383) - 30) / 30)), 2) * R383 * (1 - S383)))</f>
        <v/>
      </c>
      <c r="P383" t="str" cm="1">
        <f t="array" aca="1" ref="P383" ca="1">IF(AND(A383&lt;&gt;"", C383&lt;&gt;""),
   SUMPRODUCT(--(TEXT(DATE(YEAR(TODAY()), MONTH(TODAY()), ROW(INDIRECT("1:" &amp; DAY(EOMONTH(TODAY(), 0))))), "dddd")=C383)),
   "")</f>
        <v/>
      </c>
      <c r="Q383" s="12"/>
      <c r="R383" s="11" t="str">
        <f t="shared" si="23"/>
        <v/>
      </c>
      <c r="U383" s="13"/>
    </row>
    <row r="384" spans="2:21" ht="18" x14ac:dyDescent="0.35">
      <c r="B384" t="str">
        <f>IF(A384="", "", IF(Q384="", "", IF(Q384=TIME(0,30,0), "Half Hour", IF(Q384=TIME(1,0,0), "Hour", TEXT(Q384*1440, "0") &amp; " Minutes"))))</f>
        <v/>
      </c>
      <c r="D384" s="9" t="str">
        <f t="shared" si="24"/>
        <v/>
      </c>
      <c r="E384" t="str">
        <f t="shared" si="25"/>
        <v/>
      </c>
      <c r="F384" s="9" t="str">
        <f t="shared" si="26"/>
        <v/>
      </c>
      <c r="G384" s="10"/>
      <c r="H384" s="10" t="str">
        <f>IF(A384="","",G384+Q384)</f>
        <v/>
      </c>
      <c r="M384" t="str">
        <f>IF(A384="","",IF(Q384="", "", ROUND(20 * EXP(LN(50/20) * ((HOUR(Q384)*60 + MINUTE(Q384) - 30) / 30)), 2) * R384 * (1 - S384)))</f>
        <v/>
      </c>
      <c r="P384" t="str" cm="1">
        <f t="array" aca="1" ref="P384" ca="1">IF(AND(A384&lt;&gt;"", C384&lt;&gt;""),
   SUMPRODUCT(--(TEXT(DATE(YEAR(TODAY()), MONTH(TODAY()), ROW(INDIRECT("1:" &amp; DAY(EOMONTH(TODAY(), 0))))), "dddd")=C384)),
   "")</f>
        <v/>
      </c>
      <c r="Q384" s="12"/>
      <c r="R384" s="11" t="str">
        <f t="shared" si="23"/>
        <v/>
      </c>
      <c r="U384" s="13"/>
    </row>
    <row r="385" spans="2:21" ht="18" x14ac:dyDescent="0.35">
      <c r="B385" t="str">
        <f>IF(A385="", "", IF(Q385="", "", IF(Q385=TIME(0,30,0), "Half Hour", IF(Q385=TIME(1,0,0), "Hour", TEXT(Q385*1440, "0") &amp; " Minutes"))))</f>
        <v/>
      </c>
      <c r="D385" s="9" t="str">
        <f t="shared" si="24"/>
        <v/>
      </c>
      <c r="E385" t="str">
        <f t="shared" si="25"/>
        <v/>
      </c>
      <c r="F385" s="9" t="str">
        <f t="shared" si="26"/>
        <v/>
      </c>
      <c r="G385" s="10"/>
      <c r="H385" s="10" t="str">
        <f>IF(A385="","",G385+Q385)</f>
        <v/>
      </c>
      <c r="M385" t="str">
        <f>IF(A385="","",IF(Q385="", "", ROUND(20 * EXP(LN(50/20) * ((HOUR(Q385)*60 + MINUTE(Q385) - 30) / 30)), 2) * R385 * (1 - S385)))</f>
        <v/>
      </c>
      <c r="P385" t="str" cm="1">
        <f t="array" aca="1" ref="P385" ca="1">IF(AND(A385&lt;&gt;"", C385&lt;&gt;""),
   SUMPRODUCT(--(TEXT(DATE(YEAR(TODAY()), MONTH(TODAY()), ROW(INDIRECT("1:" &amp; DAY(EOMONTH(TODAY(), 0))))), "dddd")=C385)),
   "")</f>
        <v/>
      </c>
      <c r="Q385" s="12"/>
      <c r="R385" s="11" t="str">
        <f t="shared" ref="R385:R448" si="27">IF(A385="", "", IFERROR(VALUE(MID(A385,FIND("(",A385)+1,FIND(")",A385)-FIND("(",A385)-1)), 1))</f>
        <v/>
      </c>
      <c r="U385" s="13"/>
    </row>
    <row r="386" spans="2:21" ht="18" x14ac:dyDescent="0.35">
      <c r="B386" t="str">
        <f>IF(A386="", "", IF(Q386="", "", IF(Q386=TIME(0,30,0), "Half Hour", IF(Q386=TIME(1,0,0), "Hour", TEXT(Q386*1440, "0") &amp; " Minutes"))))</f>
        <v/>
      </c>
      <c r="D386" s="9" t="str">
        <f t="shared" si="24"/>
        <v/>
      </c>
      <c r="E386" t="str">
        <f t="shared" si="25"/>
        <v/>
      </c>
      <c r="F386" s="9" t="str">
        <f t="shared" si="26"/>
        <v/>
      </c>
      <c r="G386" s="10"/>
      <c r="H386" s="10" t="str">
        <f>IF(A386="","",G386+Q386)</f>
        <v/>
      </c>
      <c r="M386" t="str">
        <f>IF(A386="","",IF(Q386="", "", ROUND(20 * EXP(LN(50/20) * ((HOUR(Q386)*60 + MINUTE(Q386) - 30) / 30)), 2) * R386 * (1 - S386)))</f>
        <v/>
      </c>
      <c r="P386" t="str" cm="1">
        <f t="array" aca="1" ref="P386" ca="1">IF(AND(A386&lt;&gt;"", C386&lt;&gt;""),
   SUMPRODUCT(--(TEXT(DATE(YEAR(TODAY()), MONTH(TODAY()), ROW(INDIRECT("1:" &amp; DAY(EOMONTH(TODAY(), 0))))), "dddd")=C386)),
   "")</f>
        <v/>
      </c>
      <c r="Q386" s="12"/>
      <c r="R386" s="11" t="str">
        <f t="shared" si="27"/>
        <v/>
      </c>
      <c r="U386" s="13"/>
    </row>
    <row r="387" spans="2:21" ht="18" x14ac:dyDescent="0.35">
      <c r="B387" t="str">
        <f>IF(A387="", "", IF(Q387="", "", IF(Q387=TIME(0,30,0), "Half Hour", IF(Q387=TIME(1,0,0), "Hour", TEXT(Q387*1440, "0") &amp; " Minutes"))))</f>
        <v/>
      </c>
      <c r="D387" s="9" t="str">
        <f t="shared" ref="D387:D450" si="28">IF(A387="","",F387-IF(E387="",0,E387))</f>
        <v/>
      </c>
      <c r="E387" t="str">
        <f t="shared" ref="E387:E450" si="29">IF(A387="","",IF(L387="No","",1.5*O387))</f>
        <v/>
      </c>
      <c r="F387" s="9" t="str">
        <f t="shared" ref="F387:F450" si="30">IF(A387="","",M387*P387)</f>
        <v/>
      </c>
      <c r="G387" s="10"/>
      <c r="H387" s="10" t="str">
        <f>IF(A387="","",G387+Q387)</f>
        <v/>
      </c>
      <c r="M387" t="str">
        <f>IF(A387="","",IF(Q387="", "", ROUND(20 * EXP(LN(50/20) * ((HOUR(Q387)*60 + MINUTE(Q387) - 30) / 30)), 2) * R387 * (1 - S387)))</f>
        <v/>
      </c>
      <c r="P387" t="str" cm="1">
        <f t="array" aca="1" ref="P387" ca="1">IF(AND(A387&lt;&gt;"", C387&lt;&gt;""),
   SUMPRODUCT(--(TEXT(DATE(YEAR(TODAY()), MONTH(TODAY()), ROW(INDIRECT("1:" &amp; DAY(EOMONTH(TODAY(), 0))))), "dddd")=C387)),
   "")</f>
        <v/>
      </c>
      <c r="Q387" s="12"/>
      <c r="R387" s="11" t="str">
        <f t="shared" si="27"/>
        <v/>
      </c>
      <c r="U387" s="13"/>
    </row>
    <row r="388" spans="2:21" ht="18" x14ac:dyDescent="0.35">
      <c r="B388" t="str">
        <f>IF(A388="", "", IF(Q388="", "", IF(Q388=TIME(0,30,0), "Half Hour", IF(Q388=TIME(1,0,0), "Hour", TEXT(Q388*1440, "0") &amp; " Minutes"))))</f>
        <v/>
      </c>
      <c r="D388" s="9" t="str">
        <f t="shared" si="28"/>
        <v/>
      </c>
      <c r="E388" t="str">
        <f t="shared" si="29"/>
        <v/>
      </c>
      <c r="F388" s="9" t="str">
        <f t="shared" si="30"/>
        <v/>
      </c>
      <c r="G388" s="10"/>
      <c r="H388" s="10" t="str">
        <f>IF(A388="","",G388+Q388)</f>
        <v/>
      </c>
      <c r="M388" t="str">
        <f>IF(A388="","",IF(Q388="", "", ROUND(20 * EXP(LN(50/20) * ((HOUR(Q388)*60 + MINUTE(Q388) - 30) / 30)), 2) * R388 * (1 - S388)))</f>
        <v/>
      </c>
      <c r="P388" t="str" cm="1">
        <f t="array" aca="1" ref="P388" ca="1">IF(AND(A388&lt;&gt;"", C388&lt;&gt;""),
   SUMPRODUCT(--(TEXT(DATE(YEAR(TODAY()), MONTH(TODAY()), ROW(INDIRECT("1:" &amp; DAY(EOMONTH(TODAY(), 0))))), "dddd")=C388)),
   "")</f>
        <v/>
      </c>
      <c r="Q388" s="12"/>
      <c r="R388" s="11" t="str">
        <f t="shared" si="27"/>
        <v/>
      </c>
      <c r="U388" s="13"/>
    </row>
    <row r="389" spans="2:21" ht="18" x14ac:dyDescent="0.35">
      <c r="B389" t="str">
        <f>IF(A389="", "", IF(Q389="", "", IF(Q389=TIME(0,30,0), "Half Hour", IF(Q389=TIME(1,0,0), "Hour", TEXT(Q389*1440, "0") &amp; " Minutes"))))</f>
        <v/>
      </c>
      <c r="D389" s="9" t="str">
        <f t="shared" si="28"/>
        <v/>
      </c>
      <c r="E389" t="str">
        <f t="shared" si="29"/>
        <v/>
      </c>
      <c r="F389" s="9" t="str">
        <f t="shared" si="30"/>
        <v/>
      </c>
      <c r="G389" s="10"/>
      <c r="H389" s="10" t="str">
        <f>IF(A389="","",G389+Q389)</f>
        <v/>
      </c>
      <c r="M389" t="str">
        <f>IF(A389="","",IF(Q389="", "", ROUND(20 * EXP(LN(50/20) * ((HOUR(Q389)*60 + MINUTE(Q389) - 30) / 30)), 2) * R389 * (1 - S389)))</f>
        <v/>
      </c>
      <c r="P389" t="str" cm="1">
        <f t="array" aca="1" ref="P389" ca="1">IF(AND(A389&lt;&gt;"", C389&lt;&gt;""),
   SUMPRODUCT(--(TEXT(DATE(YEAR(TODAY()), MONTH(TODAY()), ROW(INDIRECT("1:" &amp; DAY(EOMONTH(TODAY(), 0))))), "dddd")=C389)),
   "")</f>
        <v/>
      </c>
      <c r="Q389" s="12"/>
      <c r="R389" s="11" t="str">
        <f t="shared" si="27"/>
        <v/>
      </c>
      <c r="U389" s="13"/>
    </row>
    <row r="390" spans="2:21" ht="18" x14ac:dyDescent="0.35">
      <c r="B390" t="str">
        <f>IF(A390="", "", IF(Q390="", "", IF(Q390=TIME(0,30,0), "Half Hour", IF(Q390=TIME(1,0,0), "Hour", TEXT(Q390*1440, "0") &amp; " Minutes"))))</f>
        <v/>
      </c>
      <c r="D390" s="9" t="str">
        <f t="shared" si="28"/>
        <v/>
      </c>
      <c r="E390" t="str">
        <f t="shared" si="29"/>
        <v/>
      </c>
      <c r="F390" s="9" t="str">
        <f t="shared" si="30"/>
        <v/>
      </c>
      <c r="G390" s="10"/>
      <c r="H390" s="10" t="str">
        <f>IF(A390="","",G390+Q390)</f>
        <v/>
      </c>
      <c r="M390" t="str">
        <f>IF(A390="","",IF(Q390="", "", ROUND(20 * EXP(LN(50/20) * ((HOUR(Q390)*60 + MINUTE(Q390) - 30) / 30)), 2) * R390 * (1 - S390)))</f>
        <v/>
      </c>
      <c r="P390" t="str" cm="1">
        <f t="array" aca="1" ref="P390" ca="1">IF(AND(A390&lt;&gt;"", C390&lt;&gt;""),
   SUMPRODUCT(--(TEXT(DATE(YEAR(TODAY()), MONTH(TODAY()), ROW(INDIRECT("1:" &amp; DAY(EOMONTH(TODAY(), 0))))), "dddd")=C390)),
   "")</f>
        <v/>
      </c>
      <c r="Q390" s="12"/>
      <c r="R390" s="11" t="str">
        <f t="shared" si="27"/>
        <v/>
      </c>
      <c r="U390" s="13"/>
    </row>
    <row r="391" spans="2:21" ht="18" x14ac:dyDescent="0.35">
      <c r="B391" t="str">
        <f>IF(A391="", "", IF(Q391="", "", IF(Q391=TIME(0,30,0), "Half Hour", IF(Q391=TIME(1,0,0), "Hour", TEXT(Q391*1440, "0") &amp; " Minutes"))))</f>
        <v/>
      </c>
      <c r="D391" s="9" t="str">
        <f t="shared" si="28"/>
        <v/>
      </c>
      <c r="E391" t="str">
        <f t="shared" si="29"/>
        <v/>
      </c>
      <c r="F391" s="9" t="str">
        <f t="shared" si="30"/>
        <v/>
      </c>
      <c r="G391" s="10"/>
      <c r="H391" s="10" t="str">
        <f>IF(A391="","",G391+Q391)</f>
        <v/>
      </c>
      <c r="M391" t="str">
        <f>IF(A391="","",IF(Q391="", "", ROUND(20 * EXP(LN(50/20) * ((HOUR(Q391)*60 + MINUTE(Q391) - 30) / 30)), 2) * R391 * (1 - S391)))</f>
        <v/>
      </c>
      <c r="P391" t="str" cm="1">
        <f t="array" aca="1" ref="P391" ca="1">IF(AND(A391&lt;&gt;"", C391&lt;&gt;""),
   SUMPRODUCT(--(TEXT(DATE(YEAR(TODAY()), MONTH(TODAY()), ROW(INDIRECT("1:" &amp; DAY(EOMONTH(TODAY(), 0))))), "dddd")=C391)),
   "")</f>
        <v/>
      </c>
      <c r="Q391" s="12"/>
      <c r="R391" s="11" t="str">
        <f t="shared" si="27"/>
        <v/>
      </c>
      <c r="U391" s="13"/>
    </row>
    <row r="392" spans="2:21" ht="18" x14ac:dyDescent="0.35">
      <c r="B392" t="str">
        <f>IF(A392="", "", IF(Q392="", "", IF(Q392=TIME(0,30,0), "Half Hour", IF(Q392=TIME(1,0,0), "Hour", TEXT(Q392*1440, "0") &amp; " Minutes"))))</f>
        <v/>
      </c>
      <c r="D392" s="9" t="str">
        <f t="shared" si="28"/>
        <v/>
      </c>
      <c r="E392" t="str">
        <f t="shared" si="29"/>
        <v/>
      </c>
      <c r="F392" s="9" t="str">
        <f t="shared" si="30"/>
        <v/>
      </c>
      <c r="G392" s="10"/>
      <c r="H392" s="10" t="str">
        <f>IF(A392="","",G392+Q392)</f>
        <v/>
      </c>
      <c r="M392" t="str">
        <f>IF(A392="","",IF(Q392="", "", ROUND(20 * EXP(LN(50/20) * ((HOUR(Q392)*60 + MINUTE(Q392) - 30) / 30)), 2) * R392 * (1 - S392)))</f>
        <v/>
      </c>
      <c r="P392" t="str" cm="1">
        <f t="array" aca="1" ref="P392" ca="1">IF(AND(A392&lt;&gt;"", C392&lt;&gt;""),
   SUMPRODUCT(--(TEXT(DATE(YEAR(TODAY()), MONTH(TODAY()), ROW(INDIRECT("1:" &amp; DAY(EOMONTH(TODAY(), 0))))), "dddd")=C392)),
   "")</f>
        <v/>
      </c>
      <c r="Q392" s="12"/>
      <c r="R392" s="11" t="str">
        <f t="shared" si="27"/>
        <v/>
      </c>
      <c r="U392" s="13"/>
    </row>
    <row r="393" spans="2:21" ht="18" x14ac:dyDescent="0.35">
      <c r="B393" t="str">
        <f>IF(A393="", "", IF(Q393="", "", IF(Q393=TIME(0,30,0), "Half Hour", IF(Q393=TIME(1,0,0), "Hour", TEXT(Q393*1440, "0") &amp; " Minutes"))))</f>
        <v/>
      </c>
      <c r="D393" s="9" t="str">
        <f t="shared" si="28"/>
        <v/>
      </c>
      <c r="E393" t="str">
        <f t="shared" si="29"/>
        <v/>
      </c>
      <c r="F393" s="9" t="str">
        <f t="shared" si="30"/>
        <v/>
      </c>
      <c r="G393" s="10"/>
      <c r="H393" s="10" t="str">
        <f>IF(A393="","",G393+Q393)</f>
        <v/>
      </c>
      <c r="M393" t="str">
        <f>IF(A393="","",IF(Q393="", "", ROUND(20 * EXP(LN(50/20) * ((HOUR(Q393)*60 + MINUTE(Q393) - 30) / 30)), 2) * R393 * (1 - S393)))</f>
        <v/>
      </c>
      <c r="P393" t="str" cm="1">
        <f t="array" aca="1" ref="P393" ca="1">IF(AND(A393&lt;&gt;"", C393&lt;&gt;""),
   SUMPRODUCT(--(TEXT(DATE(YEAR(TODAY()), MONTH(TODAY()), ROW(INDIRECT("1:" &amp; DAY(EOMONTH(TODAY(), 0))))), "dddd")=C393)),
   "")</f>
        <v/>
      </c>
      <c r="Q393" s="12"/>
      <c r="R393" s="11" t="str">
        <f t="shared" si="27"/>
        <v/>
      </c>
      <c r="U393" s="13"/>
    </row>
    <row r="394" spans="2:21" ht="18" x14ac:dyDescent="0.35">
      <c r="B394" t="str">
        <f>IF(A394="", "", IF(Q394="", "", IF(Q394=TIME(0,30,0), "Half Hour", IF(Q394=TIME(1,0,0), "Hour", TEXT(Q394*1440, "0") &amp; " Minutes"))))</f>
        <v/>
      </c>
      <c r="D394" s="9" t="str">
        <f t="shared" si="28"/>
        <v/>
      </c>
      <c r="E394" t="str">
        <f t="shared" si="29"/>
        <v/>
      </c>
      <c r="F394" s="9" t="str">
        <f t="shared" si="30"/>
        <v/>
      </c>
      <c r="G394" s="10"/>
      <c r="H394" s="10" t="str">
        <f>IF(A394="","",G394+Q394)</f>
        <v/>
      </c>
      <c r="M394" t="str">
        <f>IF(A394="","",IF(Q394="", "", ROUND(20 * EXP(LN(50/20) * ((HOUR(Q394)*60 + MINUTE(Q394) - 30) / 30)), 2) * R394 * (1 - S394)))</f>
        <v/>
      </c>
      <c r="P394" t="str" cm="1">
        <f t="array" aca="1" ref="P394" ca="1">IF(AND(A394&lt;&gt;"", C394&lt;&gt;""),
   SUMPRODUCT(--(TEXT(DATE(YEAR(TODAY()), MONTH(TODAY()), ROW(INDIRECT("1:" &amp; DAY(EOMONTH(TODAY(), 0))))), "dddd")=C394)),
   "")</f>
        <v/>
      </c>
      <c r="Q394" s="12"/>
      <c r="R394" s="11" t="str">
        <f t="shared" si="27"/>
        <v/>
      </c>
      <c r="U394" s="13"/>
    </row>
    <row r="395" spans="2:21" ht="18" x14ac:dyDescent="0.35">
      <c r="B395" t="str">
        <f>IF(A395="", "", IF(Q395="", "", IF(Q395=TIME(0,30,0), "Half Hour", IF(Q395=TIME(1,0,0), "Hour", TEXT(Q395*1440, "0") &amp; " Minutes"))))</f>
        <v/>
      </c>
      <c r="D395" s="9" t="str">
        <f t="shared" si="28"/>
        <v/>
      </c>
      <c r="E395" t="str">
        <f t="shared" si="29"/>
        <v/>
      </c>
      <c r="F395" s="9" t="str">
        <f t="shared" si="30"/>
        <v/>
      </c>
      <c r="G395" s="10"/>
      <c r="H395" s="10" t="str">
        <f>IF(A395="","",G395+Q395)</f>
        <v/>
      </c>
      <c r="M395" t="str">
        <f>IF(A395="","",IF(Q395="", "", ROUND(20 * EXP(LN(50/20) * ((HOUR(Q395)*60 + MINUTE(Q395) - 30) / 30)), 2) * R395 * (1 - S395)))</f>
        <v/>
      </c>
      <c r="P395" t="str" cm="1">
        <f t="array" aca="1" ref="P395" ca="1">IF(AND(A395&lt;&gt;"", C395&lt;&gt;""),
   SUMPRODUCT(--(TEXT(DATE(YEAR(TODAY()), MONTH(TODAY()), ROW(INDIRECT("1:" &amp; DAY(EOMONTH(TODAY(), 0))))), "dddd")=C395)),
   "")</f>
        <v/>
      </c>
      <c r="Q395" s="12"/>
      <c r="R395" s="11" t="str">
        <f t="shared" si="27"/>
        <v/>
      </c>
      <c r="U395" s="13"/>
    </row>
    <row r="396" spans="2:21" ht="18" x14ac:dyDescent="0.35">
      <c r="B396" t="str">
        <f>IF(A396="", "", IF(Q396="", "", IF(Q396=TIME(0,30,0), "Half Hour", IF(Q396=TIME(1,0,0), "Hour", TEXT(Q396*1440, "0") &amp; " Minutes"))))</f>
        <v/>
      </c>
      <c r="D396" s="9" t="str">
        <f t="shared" si="28"/>
        <v/>
      </c>
      <c r="E396" t="str">
        <f t="shared" si="29"/>
        <v/>
      </c>
      <c r="F396" s="9" t="str">
        <f t="shared" si="30"/>
        <v/>
      </c>
      <c r="G396" s="10"/>
      <c r="H396" s="10" t="str">
        <f>IF(A396="","",G396+Q396)</f>
        <v/>
      </c>
      <c r="M396" t="str">
        <f>IF(A396="","",IF(Q396="", "", ROUND(20 * EXP(LN(50/20) * ((HOUR(Q396)*60 + MINUTE(Q396) - 30) / 30)), 2) * R396 * (1 - S396)))</f>
        <v/>
      </c>
      <c r="P396" t="str" cm="1">
        <f t="array" aca="1" ref="P396" ca="1">IF(AND(A396&lt;&gt;"", C396&lt;&gt;""),
   SUMPRODUCT(--(TEXT(DATE(YEAR(TODAY()), MONTH(TODAY()), ROW(INDIRECT("1:" &amp; DAY(EOMONTH(TODAY(), 0))))), "dddd")=C396)),
   "")</f>
        <v/>
      </c>
      <c r="Q396" s="12"/>
      <c r="R396" s="11" t="str">
        <f t="shared" si="27"/>
        <v/>
      </c>
      <c r="U396" s="13"/>
    </row>
    <row r="397" spans="2:21" ht="18" x14ac:dyDescent="0.35">
      <c r="B397" t="str">
        <f>IF(A397="", "", IF(Q397="", "", IF(Q397=TIME(0,30,0), "Half Hour", IF(Q397=TIME(1,0,0), "Hour", TEXT(Q397*1440, "0") &amp; " Minutes"))))</f>
        <v/>
      </c>
      <c r="D397" s="9" t="str">
        <f t="shared" si="28"/>
        <v/>
      </c>
      <c r="E397" t="str">
        <f t="shared" si="29"/>
        <v/>
      </c>
      <c r="F397" s="9" t="str">
        <f t="shared" si="30"/>
        <v/>
      </c>
      <c r="G397" s="10"/>
      <c r="H397" s="10" t="str">
        <f>IF(A397="","",G397+Q397)</f>
        <v/>
      </c>
      <c r="M397" t="str">
        <f>IF(A397="","",IF(Q397="", "", ROUND(20 * EXP(LN(50/20) * ((HOUR(Q397)*60 + MINUTE(Q397) - 30) / 30)), 2) * R397 * (1 - S397)))</f>
        <v/>
      </c>
      <c r="P397" t="str" cm="1">
        <f t="array" aca="1" ref="P397" ca="1">IF(AND(A397&lt;&gt;"", C397&lt;&gt;""),
   SUMPRODUCT(--(TEXT(DATE(YEAR(TODAY()), MONTH(TODAY()), ROW(INDIRECT("1:" &amp; DAY(EOMONTH(TODAY(), 0))))), "dddd")=C397)),
   "")</f>
        <v/>
      </c>
      <c r="Q397" s="12"/>
      <c r="R397" s="11" t="str">
        <f t="shared" si="27"/>
        <v/>
      </c>
      <c r="U397" s="13"/>
    </row>
    <row r="398" spans="2:21" ht="18" x14ac:dyDescent="0.35">
      <c r="B398" t="str">
        <f>IF(A398="", "", IF(Q398="", "", IF(Q398=TIME(0,30,0), "Half Hour", IF(Q398=TIME(1,0,0), "Hour", TEXT(Q398*1440, "0") &amp; " Minutes"))))</f>
        <v/>
      </c>
      <c r="D398" s="9" t="str">
        <f t="shared" si="28"/>
        <v/>
      </c>
      <c r="E398" t="str">
        <f t="shared" si="29"/>
        <v/>
      </c>
      <c r="F398" s="9" t="str">
        <f t="shared" si="30"/>
        <v/>
      </c>
      <c r="G398" s="10"/>
      <c r="H398" s="10" t="str">
        <f>IF(A398="","",G398+Q398)</f>
        <v/>
      </c>
      <c r="M398" t="str">
        <f>IF(A398="","",IF(Q398="", "", ROUND(20 * EXP(LN(50/20) * ((HOUR(Q398)*60 + MINUTE(Q398) - 30) / 30)), 2) * R398 * (1 - S398)))</f>
        <v/>
      </c>
      <c r="P398" t="str" cm="1">
        <f t="array" aca="1" ref="P398" ca="1">IF(AND(A398&lt;&gt;"", C398&lt;&gt;""),
   SUMPRODUCT(--(TEXT(DATE(YEAR(TODAY()), MONTH(TODAY()), ROW(INDIRECT("1:" &amp; DAY(EOMONTH(TODAY(), 0))))), "dddd")=C398)),
   "")</f>
        <v/>
      </c>
      <c r="Q398" s="12"/>
      <c r="R398" s="11" t="str">
        <f t="shared" si="27"/>
        <v/>
      </c>
      <c r="U398" s="13"/>
    </row>
    <row r="399" spans="2:21" ht="18" x14ac:dyDescent="0.35">
      <c r="B399" t="str">
        <f>IF(A399="", "", IF(Q399="", "", IF(Q399=TIME(0,30,0), "Half Hour", IF(Q399=TIME(1,0,0), "Hour", TEXT(Q399*1440, "0") &amp; " Minutes"))))</f>
        <v/>
      </c>
      <c r="D399" s="9" t="str">
        <f t="shared" si="28"/>
        <v/>
      </c>
      <c r="E399" t="str">
        <f t="shared" si="29"/>
        <v/>
      </c>
      <c r="F399" s="9" t="str">
        <f t="shared" si="30"/>
        <v/>
      </c>
      <c r="G399" s="10"/>
      <c r="H399" s="10" t="str">
        <f>IF(A399="","",G399+Q399)</f>
        <v/>
      </c>
      <c r="M399" t="str">
        <f>IF(A399="","",IF(Q399="", "", ROUND(20 * EXP(LN(50/20) * ((HOUR(Q399)*60 + MINUTE(Q399) - 30) / 30)), 2) * R399 * (1 - S399)))</f>
        <v/>
      </c>
      <c r="P399" t="str" cm="1">
        <f t="array" aca="1" ref="P399" ca="1">IF(AND(A399&lt;&gt;"", C399&lt;&gt;""),
   SUMPRODUCT(--(TEXT(DATE(YEAR(TODAY()), MONTH(TODAY()), ROW(INDIRECT("1:" &amp; DAY(EOMONTH(TODAY(), 0))))), "dddd")=C399)),
   "")</f>
        <v/>
      </c>
      <c r="Q399" s="12"/>
      <c r="R399" s="11" t="str">
        <f t="shared" si="27"/>
        <v/>
      </c>
      <c r="U399" s="13"/>
    </row>
    <row r="400" spans="2:21" ht="18" x14ac:dyDescent="0.35">
      <c r="B400" t="str">
        <f>IF(A400="", "", IF(Q400="", "", IF(Q400=TIME(0,30,0), "Half Hour", IF(Q400=TIME(1,0,0), "Hour", TEXT(Q400*1440, "0") &amp; " Minutes"))))</f>
        <v/>
      </c>
      <c r="D400" s="9" t="str">
        <f t="shared" si="28"/>
        <v/>
      </c>
      <c r="E400" t="str">
        <f t="shared" si="29"/>
        <v/>
      </c>
      <c r="F400" s="9" t="str">
        <f t="shared" si="30"/>
        <v/>
      </c>
      <c r="G400" s="10"/>
      <c r="H400" s="10" t="str">
        <f>IF(A400="","",G400+Q400)</f>
        <v/>
      </c>
      <c r="M400" t="str">
        <f>IF(A400="","",IF(Q400="", "", ROUND(20 * EXP(LN(50/20) * ((HOUR(Q400)*60 + MINUTE(Q400) - 30) / 30)), 2) * R400 * (1 - S400)))</f>
        <v/>
      </c>
      <c r="P400" t="str" cm="1">
        <f t="array" aca="1" ref="P400" ca="1">IF(AND(A400&lt;&gt;"", C400&lt;&gt;""),
   SUMPRODUCT(--(TEXT(DATE(YEAR(TODAY()), MONTH(TODAY()), ROW(INDIRECT("1:" &amp; DAY(EOMONTH(TODAY(), 0))))), "dddd")=C400)),
   "")</f>
        <v/>
      </c>
      <c r="Q400" s="12"/>
      <c r="R400" s="11" t="str">
        <f t="shared" si="27"/>
        <v/>
      </c>
      <c r="U400" s="13"/>
    </row>
    <row r="401" spans="2:21" ht="18" x14ac:dyDescent="0.35">
      <c r="B401" t="str">
        <f>IF(A401="", "", IF(Q401="", "", IF(Q401=TIME(0,30,0), "Half Hour", IF(Q401=TIME(1,0,0), "Hour", TEXT(Q401*1440, "0") &amp; " Minutes"))))</f>
        <v/>
      </c>
      <c r="D401" s="9" t="str">
        <f t="shared" si="28"/>
        <v/>
      </c>
      <c r="E401" t="str">
        <f t="shared" si="29"/>
        <v/>
      </c>
      <c r="F401" s="9" t="str">
        <f t="shared" si="30"/>
        <v/>
      </c>
      <c r="G401" s="10"/>
      <c r="H401" s="10" t="str">
        <f>IF(A401="","",G401+Q401)</f>
        <v/>
      </c>
      <c r="M401" t="str">
        <f>IF(A401="","",IF(Q401="", "", ROUND(20 * EXP(LN(50/20) * ((HOUR(Q401)*60 + MINUTE(Q401) - 30) / 30)), 2) * R401 * (1 - S401)))</f>
        <v/>
      </c>
      <c r="P401" t="str" cm="1">
        <f t="array" aca="1" ref="P401" ca="1">IF(AND(A401&lt;&gt;"", C401&lt;&gt;""),
   SUMPRODUCT(--(TEXT(DATE(YEAR(TODAY()), MONTH(TODAY()), ROW(INDIRECT("1:" &amp; DAY(EOMONTH(TODAY(), 0))))), "dddd")=C401)),
   "")</f>
        <v/>
      </c>
      <c r="Q401" s="12"/>
      <c r="R401" s="11" t="str">
        <f t="shared" si="27"/>
        <v/>
      </c>
      <c r="U401" s="13"/>
    </row>
    <row r="402" spans="2:21" ht="18" x14ac:dyDescent="0.35">
      <c r="B402" t="str">
        <f>IF(A402="", "", IF(Q402="", "", IF(Q402=TIME(0,30,0), "Half Hour", IF(Q402=TIME(1,0,0), "Hour", TEXT(Q402*1440, "0") &amp; " Minutes"))))</f>
        <v/>
      </c>
      <c r="D402" s="9" t="str">
        <f t="shared" si="28"/>
        <v/>
      </c>
      <c r="E402" t="str">
        <f t="shared" si="29"/>
        <v/>
      </c>
      <c r="F402" s="9" t="str">
        <f t="shared" si="30"/>
        <v/>
      </c>
      <c r="G402" s="10"/>
      <c r="H402" s="10" t="str">
        <f>IF(A402="","",G402+Q402)</f>
        <v/>
      </c>
      <c r="M402" t="str">
        <f>IF(A402="","",IF(Q402="", "", ROUND(20 * EXP(LN(50/20) * ((HOUR(Q402)*60 + MINUTE(Q402) - 30) / 30)), 2) * R402 * (1 - S402)))</f>
        <v/>
      </c>
      <c r="P402" t="str" cm="1">
        <f t="array" aca="1" ref="P402" ca="1">IF(AND(A402&lt;&gt;"", C402&lt;&gt;""),
   SUMPRODUCT(--(TEXT(DATE(YEAR(TODAY()), MONTH(TODAY()), ROW(INDIRECT("1:" &amp; DAY(EOMONTH(TODAY(), 0))))), "dddd")=C402)),
   "")</f>
        <v/>
      </c>
      <c r="Q402" s="12"/>
      <c r="R402" s="11" t="str">
        <f t="shared" si="27"/>
        <v/>
      </c>
      <c r="U402" s="13"/>
    </row>
    <row r="403" spans="2:21" ht="18" x14ac:dyDescent="0.35">
      <c r="B403" t="str">
        <f>IF(A403="", "", IF(Q403="", "", IF(Q403=TIME(0,30,0), "Half Hour", IF(Q403=TIME(1,0,0), "Hour", TEXT(Q403*1440, "0") &amp; " Minutes"))))</f>
        <v/>
      </c>
      <c r="D403" s="9" t="str">
        <f t="shared" si="28"/>
        <v/>
      </c>
      <c r="E403" t="str">
        <f t="shared" si="29"/>
        <v/>
      </c>
      <c r="F403" s="9" t="str">
        <f t="shared" si="30"/>
        <v/>
      </c>
      <c r="G403" s="10"/>
      <c r="H403" s="10" t="str">
        <f>IF(A403="","",G403+Q403)</f>
        <v/>
      </c>
      <c r="M403" t="str">
        <f>IF(A403="","",IF(Q403="", "", ROUND(20 * EXP(LN(50/20) * ((HOUR(Q403)*60 + MINUTE(Q403) - 30) / 30)), 2) * R403 * (1 - S403)))</f>
        <v/>
      </c>
      <c r="P403" t="str" cm="1">
        <f t="array" aca="1" ref="P403" ca="1">IF(AND(A403&lt;&gt;"", C403&lt;&gt;""),
   SUMPRODUCT(--(TEXT(DATE(YEAR(TODAY()), MONTH(TODAY()), ROW(INDIRECT("1:" &amp; DAY(EOMONTH(TODAY(), 0))))), "dddd")=C403)),
   "")</f>
        <v/>
      </c>
      <c r="Q403" s="12"/>
      <c r="R403" s="11" t="str">
        <f t="shared" si="27"/>
        <v/>
      </c>
      <c r="U403" s="13"/>
    </row>
    <row r="404" spans="2:21" ht="18" x14ac:dyDescent="0.35">
      <c r="B404" t="str">
        <f>IF(A404="", "", IF(Q404="", "", IF(Q404=TIME(0,30,0), "Half Hour", IF(Q404=TIME(1,0,0), "Hour", TEXT(Q404*1440, "0") &amp; " Minutes"))))</f>
        <v/>
      </c>
      <c r="D404" s="9" t="str">
        <f t="shared" si="28"/>
        <v/>
      </c>
      <c r="E404" t="str">
        <f t="shared" si="29"/>
        <v/>
      </c>
      <c r="F404" s="9" t="str">
        <f t="shared" si="30"/>
        <v/>
      </c>
      <c r="G404" s="10"/>
      <c r="H404" s="10" t="str">
        <f>IF(A404="","",G404+Q404)</f>
        <v/>
      </c>
      <c r="M404" t="str">
        <f>IF(A404="","",IF(Q404="", "", ROUND(20 * EXP(LN(50/20) * ((HOUR(Q404)*60 + MINUTE(Q404) - 30) / 30)), 2) * R404 * (1 - S404)))</f>
        <v/>
      </c>
      <c r="P404" t="str" cm="1">
        <f t="array" aca="1" ref="P404" ca="1">IF(AND(A404&lt;&gt;"", C404&lt;&gt;""),
   SUMPRODUCT(--(TEXT(DATE(YEAR(TODAY()), MONTH(TODAY()), ROW(INDIRECT("1:" &amp; DAY(EOMONTH(TODAY(), 0))))), "dddd")=C404)),
   "")</f>
        <v/>
      </c>
      <c r="Q404" s="12"/>
      <c r="R404" s="11" t="str">
        <f t="shared" si="27"/>
        <v/>
      </c>
      <c r="U404" s="13"/>
    </row>
    <row r="405" spans="2:21" ht="18" x14ac:dyDescent="0.35">
      <c r="B405" t="str">
        <f>IF(A405="", "", IF(Q405="", "", IF(Q405=TIME(0,30,0), "Half Hour", IF(Q405=TIME(1,0,0), "Hour", TEXT(Q405*1440, "0") &amp; " Minutes"))))</f>
        <v/>
      </c>
      <c r="D405" s="9" t="str">
        <f t="shared" si="28"/>
        <v/>
      </c>
      <c r="E405" t="str">
        <f t="shared" si="29"/>
        <v/>
      </c>
      <c r="F405" s="9" t="str">
        <f t="shared" si="30"/>
        <v/>
      </c>
      <c r="G405" s="10"/>
      <c r="H405" s="10" t="str">
        <f>IF(A405="","",G405+Q405)</f>
        <v/>
      </c>
      <c r="M405" t="str">
        <f>IF(A405="","",IF(Q405="", "", ROUND(20 * EXP(LN(50/20) * ((HOUR(Q405)*60 + MINUTE(Q405) - 30) / 30)), 2) * R405 * (1 - S405)))</f>
        <v/>
      </c>
      <c r="P405" t="str" cm="1">
        <f t="array" aca="1" ref="P405" ca="1">IF(AND(A405&lt;&gt;"", C405&lt;&gt;""),
   SUMPRODUCT(--(TEXT(DATE(YEAR(TODAY()), MONTH(TODAY()), ROW(INDIRECT("1:" &amp; DAY(EOMONTH(TODAY(), 0))))), "dddd")=C405)),
   "")</f>
        <v/>
      </c>
      <c r="Q405" s="12"/>
      <c r="R405" s="11" t="str">
        <f t="shared" si="27"/>
        <v/>
      </c>
      <c r="U405" s="13"/>
    </row>
    <row r="406" spans="2:21" ht="18" x14ac:dyDescent="0.35">
      <c r="B406" t="str">
        <f>IF(A406="", "", IF(Q406="", "", IF(Q406=TIME(0,30,0), "Half Hour", IF(Q406=TIME(1,0,0), "Hour", TEXT(Q406*1440, "0") &amp; " Minutes"))))</f>
        <v/>
      </c>
      <c r="D406" s="9" t="str">
        <f t="shared" si="28"/>
        <v/>
      </c>
      <c r="E406" t="str">
        <f t="shared" si="29"/>
        <v/>
      </c>
      <c r="F406" s="9" t="str">
        <f t="shared" si="30"/>
        <v/>
      </c>
      <c r="G406" s="10"/>
      <c r="H406" s="10" t="str">
        <f>IF(A406="","",G406+Q406)</f>
        <v/>
      </c>
      <c r="M406" t="str">
        <f>IF(A406="","",IF(Q406="", "", ROUND(20 * EXP(LN(50/20) * ((HOUR(Q406)*60 + MINUTE(Q406) - 30) / 30)), 2) * R406 * (1 - S406)))</f>
        <v/>
      </c>
      <c r="P406" t="str" cm="1">
        <f t="array" aca="1" ref="P406" ca="1">IF(AND(A406&lt;&gt;"", C406&lt;&gt;""),
   SUMPRODUCT(--(TEXT(DATE(YEAR(TODAY()), MONTH(TODAY()), ROW(INDIRECT("1:" &amp; DAY(EOMONTH(TODAY(), 0))))), "dddd")=C406)),
   "")</f>
        <v/>
      </c>
      <c r="Q406" s="12"/>
      <c r="R406" s="11" t="str">
        <f t="shared" si="27"/>
        <v/>
      </c>
      <c r="U406" s="13"/>
    </row>
    <row r="407" spans="2:21" ht="18" x14ac:dyDescent="0.35">
      <c r="B407" t="str">
        <f>IF(A407="", "", IF(Q407="", "", IF(Q407=TIME(0,30,0), "Half Hour", IF(Q407=TIME(1,0,0), "Hour", TEXT(Q407*1440, "0") &amp; " Minutes"))))</f>
        <v/>
      </c>
      <c r="D407" s="9" t="str">
        <f t="shared" si="28"/>
        <v/>
      </c>
      <c r="E407" t="str">
        <f t="shared" si="29"/>
        <v/>
      </c>
      <c r="F407" s="9" t="str">
        <f t="shared" si="30"/>
        <v/>
      </c>
      <c r="G407" s="10"/>
      <c r="H407" s="10" t="str">
        <f>IF(A407="","",G407+Q407)</f>
        <v/>
      </c>
      <c r="M407" t="str">
        <f>IF(A407="","",IF(Q407="", "", ROUND(20 * EXP(LN(50/20) * ((HOUR(Q407)*60 + MINUTE(Q407) - 30) / 30)), 2) * R407 * (1 - S407)))</f>
        <v/>
      </c>
      <c r="P407" t="str" cm="1">
        <f t="array" aca="1" ref="P407" ca="1">IF(AND(A407&lt;&gt;"", C407&lt;&gt;""),
   SUMPRODUCT(--(TEXT(DATE(YEAR(TODAY()), MONTH(TODAY()), ROW(INDIRECT("1:" &amp; DAY(EOMONTH(TODAY(), 0))))), "dddd")=C407)),
   "")</f>
        <v/>
      </c>
      <c r="Q407" s="12"/>
      <c r="R407" s="11" t="str">
        <f t="shared" si="27"/>
        <v/>
      </c>
      <c r="U407" s="13"/>
    </row>
    <row r="408" spans="2:21" ht="18" x14ac:dyDescent="0.35">
      <c r="B408" t="str">
        <f>IF(A408="", "", IF(Q408="", "", IF(Q408=TIME(0,30,0), "Half Hour", IF(Q408=TIME(1,0,0), "Hour", TEXT(Q408*1440, "0") &amp; " Minutes"))))</f>
        <v/>
      </c>
      <c r="D408" s="9" t="str">
        <f t="shared" si="28"/>
        <v/>
      </c>
      <c r="E408" t="str">
        <f t="shared" si="29"/>
        <v/>
      </c>
      <c r="F408" s="9" t="str">
        <f t="shared" si="30"/>
        <v/>
      </c>
      <c r="G408" s="10"/>
      <c r="H408" s="10" t="str">
        <f>IF(A408="","",G408+Q408)</f>
        <v/>
      </c>
      <c r="M408" t="str">
        <f>IF(A408="","",IF(Q408="", "", ROUND(20 * EXP(LN(50/20) * ((HOUR(Q408)*60 + MINUTE(Q408) - 30) / 30)), 2) * R408 * (1 - S408)))</f>
        <v/>
      </c>
      <c r="P408" t="str" cm="1">
        <f t="array" aca="1" ref="P408" ca="1">IF(AND(A408&lt;&gt;"", C408&lt;&gt;""),
   SUMPRODUCT(--(TEXT(DATE(YEAR(TODAY()), MONTH(TODAY()), ROW(INDIRECT("1:" &amp; DAY(EOMONTH(TODAY(), 0))))), "dddd")=C408)),
   "")</f>
        <v/>
      </c>
      <c r="Q408" s="12"/>
      <c r="R408" s="11" t="str">
        <f t="shared" si="27"/>
        <v/>
      </c>
      <c r="U408" s="13"/>
    </row>
    <row r="409" spans="2:21" ht="18" x14ac:dyDescent="0.35">
      <c r="B409" t="str">
        <f>IF(A409="", "", IF(Q409="", "", IF(Q409=TIME(0,30,0), "Half Hour", IF(Q409=TIME(1,0,0), "Hour", TEXT(Q409*1440, "0") &amp; " Minutes"))))</f>
        <v/>
      </c>
      <c r="D409" s="9" t="str">
        <f t="shared" si="28"/>
        <v/>
      </c>
      <c r="E409" t="str">
        <f t="shared" si="29"/>
        <v/>
      </c>
      <c r="F409" s="9" t="str">
        <f t="shared" si="30"/>
        <v/>
      </c>
      <c r="G409" s="10"/>
      <c r="H409" s="10" t="str">
        <f>IF(A409="","",G409+Q409)</f>
        <v/>
      </c>
      <c r="M409" t="str">
        <f>IF(A409="","",IF(Q409="", "", ROUND(20 * EXP(LN(50/20) * ((HOUR(Q409)*60 + MINUTE(Q409) - 30) / 30)), 2) * R409 * (1 - S409)))</f>
        <v/>
      </c>
      <c r="P409" t="str" cm="1">
        <f t="array" aca="1" ref="P409" ca="1">IF(AND(A409&lt;&gt;"", C409&lt;&gt;""),
   SUMPRODUCT(--(TEXT(DATE(YEAR(TODAY()), MONTH(TODAY()), ROW(INDIRECT("1:" &amp; DAY(EOMONTH(TODAY(), 0))))), "dddd")=C409)),
   "")</f>
        <v/>
      </c>
      <c r="Q409" s="12"/>
      <c r="R409" s="11" t="str">
        <f t="shared" si="27"/>
        <v/>
      </c>
      <c r="U409" s="13"/>
    </row>
    <row r="410" spans="2:21" ht="18" x14ac:dyDescent="0.35">
      <c r="B410" t="str">
        <f>IF(A410="", "", IF(Q410="", "", IF(Q410=TIME(0,30,0), "Half Hour", IF(Q410=TIME(1,0,0), "Hour", TEXT(Q410*1440, "0") &amp; " Minutes"))))</f>
        <v/>
      </c>
      <c r="D410" s="9" t="str">
        <f t="shared" si="28"/>
        <v/>
      </c>
      <c r="E410" t="str">
        <f t="shared" si="29"/>
        <v/>
      </c>
      <c r="F410" s="9" t="str">
        <f t="shared" si="30"/>
        <v/>
      </c>
      <c r="G410" s="10"/>
      <c r="H410" s="10" t="str">
        <f>IF(A410="","",G410+Q410)</f>
        <v/>
      </c>
      <c r="M410" t="str">
        <f>IF(A410="","",IF(Q410="", "", ROUND(20 * EXP(LN(50/20) * ((HOUR(Q410)*60 + MINUTE(Q410) - 30) / 30)), 2) * R410 * (1 - S410)))</f>
        <v/>
      </c>
      <c r="P410" t="str" cm="1">
        <f t="array" aca="1" ref="P410" ca="1">IF(AND(A410&lt;&gt;"", C410&lt;&gt;""),
   SUMPRODUCT(--(TEXT(DATE(YEAR(TODAY()), MONTH(TODAY()), ROW(INDIRECT("1:" &amp; DAY(EOMONTH(TODAY(), 0))))), "dddd")=C410)),
   "")</f>
        <v/>
      </c>
      <c r="Q410" s="12"/>
      <c r="R410" s="11" t="str">
        <f t="shared" si="27"/>
        <v/>
      </c>
      <c r="U410" s="13"/>
    </row>
    <row r="411" spans="2:21" ht="18" x14ac:dyDescent="0.35">
      <c r="B411" t="str">
        <f>IF(A411="", "", IF(Q411="", "", IF(Q411=TIME(0,30,0), "Half Hour", IF(Q411=TIME(1,0,0), "Hour", TEXT(Q411*1440, "0") &amp; " Minutes"))))</f>
        <v/>
      </c>
      <c r="D411" s="9" t="str">
        <f t="shared" si="28"/>
        <v/>
      </c>
      <c r="E411" t="str">
        <f t="shared" si="29"/>
        <v/>
      </c>
      <c r="F411" s="9" t="str">
        <f t="shared" si="30"/>
        <v/>
      </c>
      <c r="G411" s="10"/>
      <c r="H411" s="10" t="str">
        <f>IF(A411="","",G411+Q411)</f>
        <v/>
      </c>
      <c r="M411" t="str">
        <f>IF(A411="","",IF(Q411="", "", ROUND(20 * EXP(LN(50/20) * ((HOUR(Q411)*60 + MINUTE(Q411) - 30) / 30)), 2) * R411 * (1 - S411)))</f>
        <v/>
      </c>
      <c r="P411" t="str" cm="1">
        <f t="array" aca="1" ref="P411" ca="1">IF(AND(A411&lt;&gt;"", C411&lt;&gt;""),
   SUMPRODUCT(--(TEXT(DATE(YEAR(TODAY()), MONTH(TODAY()), ROW(INDIRECT("1:" &amp; DAY(EOMONTH(TODAY(), 0))))), "dddd")=C411)),
   "")</f>
        <v/>
      </c>
      <c r="Q411" s="12"/>
      <c r="R411" s="11" t="str">
        <f t="shared" si="27"/>
        <v/>
      </c>
      <c r="U411" s="13"/>
    </row>
    <row r="412" spans="2:21" ht="18" x14ac:dyDescent="0.35">
      <c r="B412" t="str">
        <f>IF(A412="", "", IF(Q412="", "", IF(Q412=TIME(0,30,0), "Half Hour", IF(Q412=TIME(1,0,0), "Hour", TEXT(Q412*1440, "0") &amp; " Minutes"))))</f>
        <v/>
      </c>
      <c r="D412" s="9" t="str">
        <f t="shared" si="28"/>
        <v/>
      </c>
      <c r="E412" t="str">
        <f t="shared" si="29"/>
        <v/>
      </c>
      <c r="F412" s="9" t="str">
        <f t="shared" si="30"/>
        <v/>
      </c>
      <c r="G412" s="10"/>
      <c r="H412" s="10" t="str">
        <f>IF(A412="","",G412+Q412)</f>
        <v/>
      </c>
      <c r="M412" t="str">
        <f>IF(A412="","",IF(Q412="", "", ROUND(20 * EXP(LN(50/20) * ((HOUR(Q412)*60 + MINUTE(Q412) - 30) / 30)), 2) * R412 * (1 - S412)))</f>
        <v/>
      </c>
      <c r="P412" t="str" cm="1">
        <f t="array" aca="1" ref="P412" ca="1">IF(AND(A412&lt;&gt;"", C412&lt;&gt;""),
   SUMPRODUCT(--(TEXT(DATE(YEAR(TODAY()), MONTH(TODAY()), ROW(INDIRECT("1:" &amp; DAY(EOMONTH(TODAY(), 0))))), "dddd")=C412)),
   "")</f>
        <v/>
      </c>
      <c r="Q412" s="12"/>
      <c r="R412" s="11" t="str">
        <f t="shared" si="27"/>
        <v/>
      </c>
      <c r="U412" s="13"/>
    </row>
    <row r="413" spans="2:21" ht="18" x14ac:dyDescent="0.35">
      <c r="B413" t="str">
        <f>IF(A413="", "", IF(Q413="", "", IF(Q413=TIME(0,30,0), "Half Hour", IF(Q413=TIME(1,0,0), "Hour", TEXT(Q413*1440, "0") &amp; " Minutes"))))</f>
        <v/>
      </c>
      <c r="D413" s="9" t="str">
        <f t="shared" si="28"/>
        <v/>
      </c>
      <c r="E413" t="str">
        <f t="shared" si="29"/>
        <v/>
      </c>
      <c r="F413" s="9" t="str">
        <f t="shared" si="30"/>
        <v/>
      </c>
      <c r="G413" s="10"/>
      <c r="H413" s="10" t="str">
        <f>IF(A413="","",G413+Q413)</f>
        <v/>
      </c>
      <c r="M413" t="str">
        <f>IF(A413="","",IF(Q413="", "", ROUND(20 * EXP(LN(50/20) * ((HOUR(Q413)*60 + MINUTE(Q413) - 30) / 30)), 2) * R413 * (1 - S413)))</f>
        <v/>
      </c>
      <c r="P413" t="str" cm="1">
        <f t="array" aca="1" ref="P413" ca="1">IF(AND(A413&lt;&gt;"", C413&lt;&gt;""),
   SUMPRODUCT(--(TEXT(DATE(YEAR(TODAY()), MONTH(TODAY()), ROW(INDIRECT("1:" &amp; DAY(EOMONTH(TODAY(), 0))))), "dddd")=C413)),
   "")</f>
        <v/>
      </c>
      <c r="Q413" s="12"/>
      <c r="R413" s="11" t="str">
        <f t="shared" si="27"/>
        <v/>
      </c>
      <c r="U413" s="13"/>
    </row>
    <row r="414" spans="2:21" ht="18" x14ac:dyDescent="0.35">
      <c r="B414" t="str">
        <f>IF(A414="", "", IF(Q414="", "", IF(Q414=TIME(0,30,0), "Half Hour", IF(Q414=TIME(1,0,0), "Hour", TEXT(Q414*1440, "0") &amp; " Minutes"))))</f>
        <v/>
      </c>
      <c r="D414" s="9" t="str">
        <f t="shared" si="28"/>
        <v/>
      </c>
      <c r="E414" t="str">
        <f t="shared" si="29"/>
        <v/>
      </c>
      <c r="F414" s="9" t="str">
        <f t="shared" si="30"/>
        <v/>
      </c>
      <c r="G414" s="10"/>
      <c r="H414" s="10" t="str">
        <f>IF(A414="","",G414+Q414)</f>
        <v/>
      </c>
      <c r="M414" t="str">
        <f>IF(A414="","",IF(Q414="", "", ROUND(20 * EXP(LN(50/20) * ((HOUR(Q414)*60 + MINUTE(Q414) - 30) / 30)), 2) * R414 * (1 - S414)))</f>
        <v/>
      </c>
      <c r="P414" t="str" cm="1">
        <f t="array" aca="1" ref="P414" ca="1">IF(AND(A414&lt;&gt;"", C414&lt;&gt;""),
   SUMPRODUCT(--(TEXT(DATE(YEAR(TODAY()), MONTH(TODAY()), ROW(INDIRECT("1:" &amp; DAY(EOMONTH(TODAY(), 0))))), "dddd")=C414)),
   "")</f>
        <v/>
      </c>
      <c r="Q414" s="12"/>
      <c r="R414" s="11" t="str">
        <f t="shared" si="27"/>
        <v/>
      </c>
      <c r="U414" s="13"/>
    </row>
    <row r="415" spans="2:21" ht="18" x14ac:dyDescent="0.35">
      <c r="B415" t="str">
        <f>IF(A415="", "", IF(Q415="", "", IF(Q415=TIME(0,30,0), "Half Hour", IF(Q415=TIME(1,0,0), "Hour", TEXT(Q415*1440, "0") &amp; " Minutes"))))</f>
        <v/>
      </c>
      <c r="D415" s="9" t="str">
        <f t="shared" si="28"/>
        <v/>
      </c>
      <c r="E415" t="str">
        <f t="shared" si="29"/>
        <v/>
      </c>
      <c r="F415" s="9" t="str">
        <f t="shared" si="30"/>
        <v/>
      </c>
      <c r="G415" s="10"/>
      <c r="H415" s="10" t="str">
        <f>IF(A415="","",G415+Q415)</f>
        <v/>
      </c>
      <c r="M415" t="str">
        <f>IF(A415="","",IF(Q415="", "", ROUND(20 * EXP(LN(50/20) * ((HOUR(Q415)*60 + MINUTE(Q415) - 30) / 30)), 2) * R415 * (1 - S415)))</f>
        <v/>
      </c>
      <c r="P415" t="str" cm="1">
        <f t="array" aca="1" ref="P415" ca="1">IF(AND(A415&lt;&gt;"", C415&lt;&gt;""),
   SUMPRODUCT(--(TEXT(DATE(YEAR(TODAY()), MONTH(TODAY()), ROW(INDIRECT("1:" &amp; DAY(EOMONTH(TODAY(), 0))))), "dddd")=C415)),
   "")</f>
        <v/>
      </c>
      <c r="Q415" s="12"/>
      <c r="R415" s="11" t="str">
        <f t="shared" si="27"/>
        <v/>
      </c>
      <c r="U415" s="13"/>
    </row>
    <row r="416" spans="2:21" ht="18" x14ac:dyDescent="0.35">
      <c r="B416" t="str">
        <f>IF(A416="", "", IF(Q416="", "", IF(Q416=TIME(0,30,0), "Half Hour", IF(Q416=TIME(1,0,0), "Hour", TEXT(Q416*1440, "0") &amp; " Minutes"))))</f>
        <v/>
      </c>
      <c r="D416" s="9" t="str">
        <f t="shared" si="28"/>
        <v/>
      </c>
      <c r="E416" t="str">
        <f t="shared" si="29"/>
        <v/>
      </c>
      <c r="F416" s="9" t="str">
        <f t="shared" si="30"/>
        <v/>
      </c>
      <c r="G416" s="10"/>
      <c r="H416" s="10" t="str">
        <f>IF(A416="","",G416+Q416)</f>
        <v/>
      </c>
      <c r="M416" t="str">
        <f>IF(A416="","",IF(Q416="", "", ROUND(20 * EXP(LN(50/20) * ((HOUR(Q416)*60 + MINUTE(Q416) - 30) / 30)), 2) * R416 * (1 - S416)))</f>
        <v/>
      </c>
      <c r="P416" t="str" cm="1">
        <f t="array" aca="1" ref="P416" ca="1">IF(AND(A416&lt;&gt;"", C416&lt;&gt;""),
   SUMPRODUCT(--(TEXT(DATE(YEAR(TODAY()), MONTH(TODAY()), ROW(INDIRECT("1:" &amp; DAY(EOMONTH(TODAY(), 0))))), "dddd")=C416)),
   "")</f>
        <v/>
      </c>
      <c r="Q416" s="12"/>
      <c r="R416" s="11" t="str">
        <f t="shared" si="27"/>
        <v/>
      </c>
      <c r="U416" s="13"/>
    </row>
    <row r="417" spans="2:21" ht="18" x14ac:dyDescent="0.35">
      <c r="B417" t="str">
        <f>IF(A417="", "", IF(Q417="", "", IF(Q417=TIME(0,30,0), "Half Hour", IF(Q417=TIME(1,0,0), "Hour", TEXT(Q417*1440, "0") &amp; " Minutes"))))</f>
        <v/>
      </c>
      <c r="D417" s="9" t="str">
        <f t="shared" si="28"/>
        <v/>
      </c>
      <c r="E417" t="str">
        <f t="shared" si="29"/>
        <v/>
      </c>
      <c r="F417" s="9" t="str">
        <f t="shared" si="30"/>
        <v/>
      </c>
      <c r="G417" s="10"/>
      <c r="H417" s="10" t="str">
        <f>IF(A417="","",G417+Q417)</f>
        <v/>
      </c>
      <c r="M417" t="str">
        <f>IF(A417="","",IF(Q417="", "", ROUND(20 * EXP(LN(50/20) * ((HOUR(Q417)*60 + MINUTE(Q417) - 30) / 30)), 2) * R417 * (1 - S417)))</f>
        <v/>
      </c>
      <c r="P417" t="str" cm="1">
        <f t="array" aca="1" ref="P417" ca="1">IF(AND(A417&lt;&gt;"", C417&lt;&gt;""),
   SUMPRODUCT(--(TEXT(DATE(YEAR(TODAY()), MONTH(TODAY()), ROW(INDIRECT("1:" &amp; DAY(EOMONTH(TODAY(), 0))))), "dddd")=C417)),
   "")</f>
        <v/>
      </c>
      <c r="Q417" s="12"/>
      <c r="R417" s="11" t="str">
        <f t="shared" si="27"/>
        <v/>
      </c>
      <c r="U417" s="13"/>
    </row>
    <row r="418" spans="2:21" ht="18" x14ac:dyDescent="0.35">
      <c r="B418" t="str">
        <f>IF(A418="", "", IF(Q418="", "", IF(Q418=TIME(0,30,0), "Half Hour", IF(Q418=TIME(1,0,0), "Hour", TEXT(Q418*1440, "0") &amp; " Minutes"))))</f>
        <v/>
      </c>
      <c r="D418" s="9" t="str">
        <f t="shared" si="28"/>
        <v/>
      </c>
      <c r="E418" t="str">
        <f t="shared" si="29"/>
        <v/>
      </c>
      <c r="F418" s="9" t="str">
        <f t="shared" si="30"/>
        <v/>
      </c>
      <c r="G418" s="10"/>
      <c r="H418" s="10" t="str">
        <f>IF(A418="","",G418+Q418)</f>
        <v/>
      </c>
      <c r="M418" t="str">
        <f>IF(A418="","",IF(Q418="", "", ROUND(20 * EXP(LN(50/20) * ((HOUR(Q418)*60 + MINUTE(Q418) - 30) / 30)), 2) * R418 * (1 - S418)))</f>
        <v/>
      </c>
      <c r="P418" t="str" cm="1">
        <f t="array" aca="1" ref="P418" ca="1">IF(AND(A418&lt;&gt;"", C418&lt;&gt;""),
   SUMPRODUCT(--(TEXT(DATE(YEAR(TODAY()), MONTH(TODAY()), ROW(INDIRECT("1:" &amp; DAY(EOMONTH(TODAY(), 0))))), "dddd")=C418)),
   "")</f>
        <v/>
      </c>
      <c r="Q418" s="12"/>
      <c r="R418" s="11" t="str">
        <f t="shared" si="27"/>
        <v/>
      </c>
      <c r="U418" s="13"/>
    </row>
    <row r="419" spans="2:21" ht="18" x14ac:dyDescent="0.35">
      <c r="B419" t="str">
        <f>IF(A419="", "", IF(Q419="", "", IF(Q419=TIME(0,30,0), "Half Hour", IF(Q419=TIME(1,0,0), "Hour", TEXT(Q419*1440, "0") &amp; " Minutes"))))</f>
        <v/>
      </c>
      <c r="D419" s="9" t="str">
        <f t="shared" si="28"/>
        <v/>
      </c>
      <c r="E419" t="str">
        <f t="shared" si="29"/>
        <v/>
      </c>
      <c r="F419" s="9" t="str">
        <f t="shared" si="30"/>
        <v/>
      </c>
      <c r="G419" s="10"/>
      <c r="H419" s="10" t="str">
        <f>IF(A419="","",G419+Q419)</f>
        <v/>
      </c>
      <c r="M419" t="str">
        <f>IF(A419="","",IF(Q419="", "", ROUND(20 * EXP(LN(50/20) * ((HOUR(Q419)*60 + MINUTE(Q419) - 30) / 30)), 2) * R419 * (1 - S419)))</f>
        <v/>
      </c>
      <c r="P419" t="str" cm="1">
        <f t="array" aca="1" ref="P419" ca="1">IF(AND(A419&lt;&gt;"", C419&lt;&gt;""),
   SUMPRODUCT(--(TEXT(DATE(YEAR(TODAY()), MONTH(TODAY()), ROW(INDIRECT("1:" &amp; DAY(EOMONTH(TODAY(), 0))))), "dddd")=C419)),
   "")</f>
        <v/>
      </c>
      <c r="Q419" s="12"/>
      <c r="R419" s="11" t="str">
        <f t="shared" si="27"/>
        <v/>
      </c>
      <c r="U419" s="13"/>
    </row>
    <row r="420" spans="2:21" ht="18" x14ac:dyDescent="0.35">
      <c r="B420" t="str">
        <f>IF(A420="", "", IF(Q420="", "", IF(Q420=TIME(0,30,0), "Half Hour", IF(Q420=TIME(1,0,0), "Hour", TEXT(Q420*1440, "0") &amp; " Minutes"))))</f>
        <v/>
      </c>
      <c r="D420" s="9" t="str">
        <f t="shared" si="28"/>
        <v/>
      </c>
      <c r="E420" t="str">
        <f t="shared" si="29"/>
        <v/>
      </c>
      <c r="F420" s="9" t="str">
        <f t="shared" si="30"/>
        <v/>
      </c>
      <c r="G420" s="10"/>
      <c r="H420" s="10" t="str">
        <f>IF(A420="","",G420+Q420)</f>
        <v/>
      </c>
      <c r="M420" t="str">
        <f>IF(A420="","",IF(Q420="", "", ROUND(20 * EXP(LN(50/20) * ((HOUR(Q420)*60 + MINUTE(Q420) - 30) / 30)), 2) * R420 * (1 - S420)))</f>
        <v/>
      </c>
      <c r="P420" t="str" cm="1">
        <f t="array" aca="1" ref="P420" ca="1">IF(AND(A420&lt;&gt;"", C420&lt;&gt;""),
   SUMPRODUCT(--(TEXT(DATE(YEAR(TODAY()), MONTH(TODAY()), ROW(INDIRECT("1:" &amp; DAY(EOMONTH(TODAY(), 0))))), "dddd")=C420)),
   "")</f>
        <v/>
      </c>
      <c r="Q420" s="12"/>
      <c r="R420" s="11" t="str">
        <f t="shared" si="27"/>
        <v/>
      </c>
      <c r="U420" s="13"/>
    </row>
    <row r="421" spans="2:21" ht="18" x14ac:dyDescent="0.35">
      <c r="B421" t="str">
        <f>IF(A421="", "", IF(Q421="", "", IF(Q421=TIME(0,30,0), "Half Hour", IF(Q421=TIME(1,0,0), "Hour", TEXT(Q421*1440, "0") &amp; " Minutes"))))</f>
        <v/>
      </c>
      <c r="D421" s="9" t="str">
        <f t="shared" si="28"/>
        <v/>
      </c>
      <c r="E421" t="str">
        <f t="shared" si="29"/>
        <v/>
      </c>
      <c r="F421" s="9" t="str">
        <f t="shared" si="30"/>
        <v/>
      </c>
      <c r="G421" s="10"/>
      <c r="H421" s="10" t="str">
        <f>IF(A421="","",G421+Q421)</f>
        <v/>
      </c>
      <c r="M421" t="str">
        <f>IF(A421="","",IF(Q421="", "", ROUND(20 * EXP(LN(50/20) * ((HOUR(Q421)*60 + MINUTE(Q421) - 30) / 30)), 2) * R421 * (1 - S421)))</f>
        <v/>
      </c>
      <c r="P421" t="str" cm="1">
        <f t="array" aca="1" ref="P421" ca="1">IF(AND(A421&lt;&gt;"", C421&lt;&gt;""),
   SUMPRODUCT(--(TEXT(DATE(YEAR(TODAY()), MONTH(TODAY()), ROW(INDIRECT("1:" &amp; DAY(EOMONTH(TODAY(), 0))))), "dddd")=C421)),
   "")</f>
        <v/>
      </c>
      <c r="Q421" s="12"/>
      <c r="R421" s="11" t="str">
        <f t="shared" si="27"/>
        <v/>
      </c>
      <c r="U421" s="13"/>
    </row>
    <row r="422" spans="2:21" ht="18" x14ac:dyDescent="0.35">
      <c r="B422" t="str">
        <f>IF(A422="", "", IF(Q422="", "", IF(Q422=TIME(0,30,0), "Half Hour", IF(Q422=TIME(1,0,0), "Hour", TEXT(Q422*1440, "0") &amp; " Minutes"))))</f>
        <v/>
      </c>
      <c r="D422" s="9" t="str">
        <f t="shared" si="28"/>
        <v/>
      </c>
      <c r="E422" t="str">
        <f t="shared" si="29"/>
        <v/>
      </c>
      <c r="F422" s="9" t="str">
        <f t="shared" si="30"/>
        <v/>
      </c>
      <c r="G422" s="10"/>
      <c r="H422" s="10" t="str">
        <f>IF(A422="","",G422+Q422)</f>
        <v/>
      </c>
      <c r="M422" t="str">
        <f>IF(A422="","",IF(Q422="", "", ROUND(20 * EXP(LN(50/20) * ((HOUR(Q422)*60 + MINUTE(Q422) - 30) / 30)), 2) * R422 * (1 - S422)))</f>
        <v/>
      </c>
      <c r="P422" t="str" cm="1">
        <f t="array" aca="1" ref="P422" ca="1">IF(AND(A422&lt;&gt;"", C422&lt;&gt;""),
   SUMPRODUCT(--(TEXT(DATE(YEAR(TODAY()), MONTH(TODAY()), ROW(INDIRECT("1:" &amp; DAY(EOMONTH(TODAY(), 0))))), "dddd")=C422)),
   "")</f>
        <v/>
      </c>
      <c r="Q422" s="12"/>
      <c r="R422" s="11" t="str">
        <f t="shared" si="27"/>
        <v/>
      </c>
      <c r="U422" s="13"/>
    </row>
    <row r="423" spans="2:21" ht="18" x14ac:dyDescent="0.35">
      <c r="B423" t="str">
        <f>IF(A423="", "", IF(Q423="", "", IF(Q423=TIME(0,30,0), "Half Hour", IF(Q423=TIME(1,0,0), "Hour", TEXT(Q423*1440, "0") &amp; " Minutes"))))</f>
        <v/>
      </c>
      <c r="D423" s="9" t="str">
        <f t="shared" si="28"/>
        <v/>
      </c>
      <c r="E423" t="str">
        <f t="shared" si="29"/>
        <v/>
      </c>
      <c r="F423" s="9" t="str">
        <f t="shared" si="30"/>
        <v/>
      </c>
      <c r="G423" s="10"/>
      <c r="H423" s="10" t="str">
        <f>IF(A423="","",G423+Q423)</f>
        <v/>
      </c>
      <c r="M423" t="str">
        <f>IF(A423="","",IF(Q423="", "", ROUND(20 * EXP(LN(50/20) * ((HOUR(Q423)*60 + MINUTE(Q423) - 30) / 30)), 2) * R423 * (1 - S423)))</f>
        <v/>
      </c>
      <c r="P423" t="str" cm="1">
        <f t="array" aca="1" ref="P423" ca="1">IF(AND(A423&lt;&gt;"", C423&lt;&gt;""),
   SUMPRODUCT(--(TEXT(DATE(YEAR(TODAY()), MONTH(TODAY()), ROW(INDIRECT("1:" &amp; DAY(EOMONTH(TODAY(), 0))))), "dddd")=C423)),
   "")</f>
        <v/>
      </c>
      <c r="Q423" s="12"/>
      <c r="R423" s="11" t="str">
        <f t="shared" si="27"/>
        <v/>
      </c>
      <c r="U423" s="13"/>
    </row>
    <row r="424" spans="2:21" ht="18" x14ac:dyDescent="0.35">
      <c r="B424" t="str">
        <f>IF(A424="", "", IF(Q424="", "", IF(Q424=TIME(0,30,0), "Half Hour", IF(Q424=TIME(1,0,0), "Hour", TEXT(Q424*1440, "0") &amp; " Minutes"))))</f>
        <v/>
      </c>
      <c r="D424" s="9" t="str">
        <f t="shared" si="28"/>
        <v/>
      </c>
      <c r="E424" t="str">
        <f t="shared" si="29"/>
        <v/>
      </c>
      <c r="F424" s="9" t="str">
        <f t="shared" si="30"/>
        <v/>
      </c>
      <c r="G424" s="10"/>
      <c r="H424" s="10" t="str">
        <f>IF(A424="","",G424+Q424)</f>
        <v/>
      </c>
      <c r="M424" t="str">
        <f>IF(A424="","",IF(Q424="", "", ROUND(20 * EXP(LN(50/20) * ((HOUR(Q424)*60 + MINUTE(Q424) - 30) / 30)), 2) * R424 * (1 - S424)))</f>
        <v/>
      </c>
      <c r="P424" t="str" cm="1">
        <f t="array" aca="1" ref="P424" ca="1">IF(AND(A424&lt;&gt;"", C424&lt;&gt;""),
   SUMPRODUCT(--(TEXT(DATE(YEAR(TODAY()), MONTH(TODAY()), ROW(INDIRECT("1:" &amp; DAY(EOMONTH(TODAY(), 0))))), "dddd")=C424)),
   "")</f>
        <v/>
      </c>
      <c r="Q424" s="12"/>
      <c r="R424" s="11" t="str">
        <f t="shared" si="27"/>
        <v/>
      </c>
      <c r="U424" s="13"/>
    </row>
    <row r="425" spans="2:21" ht="18" x14ac:dyDescent="0.35">
      <c r="B425" t="str">
        <f>IF(A425="", "", IF(Q425="", "", IF(Q425=TIME(0,30,0), "Half Hour", IF(Q425=TIME(1,0,0), "Hour", TEXT(Q425*1440, "0") &amp; " Minutes"))))</f>
        <v/>
      </c>
      <c r="D425" s="9" t="str">
        <f t="shared" si="28"/>
        <v/>
      </c>
      <c r="E425" t="str">
        <f t="shared" si="29"/>
        <v/>
      </c>
      <c r="F425" s="9" t="str">
        <f t="shared" si="30"/>
        <v/>
      </c>
      <c r="G425" s="10"/>
      <c r="H425" s="10" t="str">
        <f>IF(A425="","",G425+Q425)</f>
        <v/>
      </c>
      <c r="M425" t="str">
        <f>IF(A425="","",IF(Q425="", "", ROUND(20 * EXP(LN(50/20) * ((HOUR(Q425)*60 + MINUTE(Q425) - 30) / 30)), 2) * R425 * (1 - S425)))</f>
        <v/>
      </c>
      <c r="P425" t="str" cm="1">
        <f t="array" aca="1" ref="P425" ca="1">IF(AND(A425&lt;&gt;"", C425&lt;&gt;""),
   SUMPRODUCT(--(TEXT(DATE(YEAR(TODAY()), MONTH(TODAY()), ROW(INDIRECT("1:" &amp; DAY(EOMONTH(TODAY(), 0))))), "dddd")=C425)),
   "")</f>
        <v/>
      </c>
      <c r="Q425" s="12"/>
      <c r="R425" s="11" t="str">
        <f t="shared" si="27"/>
        <v/>
      </c>
      <c r="U425" s="13"/>
    </row>
    <row r="426" spans="2:21" ht="18" x14ac:dyDescent="0.35">
      <c r="B426" t="str">
        <f>IF(A426="", "", IF(Q426="", "", IF(Q426=TIME(0,30,0), "Half Hour", IF(Q426=TIME(1,0,0), "Hour", TEXT(Q426*1440, "0") &amp; " Minutes"))))</f>
        <v/>
      </c>
      <c r="D426" s="9" t="str">
        <f t="shared" si="28"/>
        <v/>
      </c>
      <c r="E426" t="str">
        <f t="shared" si="29"/>
        <v/>
      </c>
      <c r="F426" s="9" t="str">
        <f t="shared" si="30"/>
        <v/>
      </c>
      <c r="G426" s="10"/>
      <c r="H426" s="10" t="str">
        <f>IF(A426="","",G426+Q426)</f>
        <v/>
      </c>
      <c r="M426" t="str">
        <f>IF(A426="","",IF(Q426="", "", ROUND(20 * EXP(LN(50/20) * ((HOUR(Q426)*60 + MINUTE(Q426) - 30) / 30)), 2) * R426 * (1 - S426)))</f>
        <v/>
      </c>
      <c r="P426" t="str" cm="1">
        <f t="array" aca="1" ref="P426" ca="1">IF(AND(A426&lt;&gt;"", C426&lt;&gt;""),
   SUMPRODUCT(--(TEXT(DATE(YEAR(TODAY()), MONTH(TODAY()), ROW(INDIRECT("1:" &amp; DAY(EOMONTH(TODAY(), 0))))), "dddd")=C426)),
   "")</f>
        <v/>
      </c>
      <c r="Q426" s="12"/>
      <c r="R426" s="11" t="str">
        <f t="shared" si="27"/>
        <v/>
      </c>
      <c r="U426" s="13"/>
    </row>
    <row r="427" spans="2:21" ht="18" x14ac:dyDescent="0.35">
      <c r="B427" t="str">
        <f>IF(A427="", "", IF(Q427="", "", IF(Q427=TIME(0,30,0), "Half Hour", IF(Q427=TIME(1,0,0), "Hour", TEXT(Q427*1440, "0") &amp; " Minutes"))))</f>
        <v/>
      </c>
      <c r="D427" s="9" t="str">
        <f t="shared" si="28"/>
        <v/>
      </c>
      <c r="E427" t="str">
        <f t="shared" si="29"/>
        <v/>
      </c>
      <c r="F427" s="9" t="str">
        <f t="shared" si="30"/>
        <v/>
      </c>
      <c r="G427" s="10"/>
      <c r="H427" s="10" t="str">
        <f>IF(A427="","",G427+Q427)</f>
        <v/>
      </c>
      <c r="M427" t="str">
        <f>IF(A427="","",IF(Q427="", "", ROUND(20 * EXP(LN(50/20) * ((HOUR(Q427)*60 + MINUTE(Q427) - 30) / 30)), 2) * R427 * (1 - S427)))</f>
        <v/>
      </c>
      <c r="P427" t="str" cm="1">
        <f t="array" aca="1" ref="P427" ca="1">IF(AND(A427&lt;&gt;"", C427&lt;&gt;""),
   SUMPRODUCT(--(TEXT(DATE(YEAR(TODAY()), MONTH(TODAY()), ROW(INDIRECT("1:" &amp; DAY(EOMONTH(TODAY(), 0))))), "dddd")=C427)),
   "")</f>
        <v/>
      </c>
      <c r="Q427" s="12"/>
      <c r="R427" s="11" t="str">
        <f t="shared" si="27"/>
        <v/>
      </c>
      <c r="U427" s="13"/>
    </row>
    <row r="428" spans="2:21" ht="18" x14ac:dyDescent="0.35">
      <c r="B428" t="str">
        <f>IF(A428="", "", IF(Q428="", "", IF(Q428=TIME(0,30,0), "Half Hour", IF(Q428=TIME(1,0,0), "Hour", TEXT(Q428*1440, "0") &amp; " Minutes"))))</f>
        <v/>
      </c>
      <c r="D428" s="9" t="str">
        <f t="shared" si="28"/>
        <v/>
      </c>
      <c r="E428" t="str">
        <f t="shared" si="29"/>
        <v/>
      </c>
      <c r="F428" s="9" t="str">
        <f t="shared" si="30"/>
        <v/>
      </c>
      <c r="G428" s="10"/>
      <c r="H428" s="10" t="str">
        <f>IF(A428="","",G428+Q428)</f>
        <v/>
      </c>
      <c r="M428" t="str">
        <f>IF(A428="","",IF(Q428="", "", ROUND(20 * EXP(LN(50/20) * ((HOUR(Q428)*60 + MINUTE(Q428) - 30) / 30)), 2) * R428 * (1 - S428)))</f>
        <v/>
      </c>
      <c r="P428" t="str" cm="1">
        <f t="array" aca="1" ref="P428" ca="1">IF(AND(A428&lt;&gt;"", C428&lt;&gt;""),
   SUMPRODUCT(--(TEXT(DATE(YEAR(TODAY()), MONTH(TODAY()), ROW(INDIRECT("1:" &amp; DAY(EOMONTH(TODAY(), 0))))), "dddd")=C428)),
   "")</f>
        <v/>
      </c>
      <c r="Q428" s="12"/>
      <c r="R428" s="11" t="str">
        <f t="shared" si="27"/>
        <v/>
      </c>
      <c r="U428" s="13"/>
    </row>
    <row r="429" spans="2:21" ht="18" x14ac:dyDescent="0.35">
      <c r="B429" t="str">
        <f>IF(A429="", "", IF(Q429="", "", IF(Q429=TIME(0,30,0), "Half Hour", IF(Q429=TIME(1,0,0), "Hour", TEXT(Q429*1440, "0") &amp; " Minutes"))))</f>
        <v/>
      </c>
      <c r="D429" s="9" t="str">
        <f t="shared" si="28"/>
        <v/>
      </c>
      <c r="E429" t="str">
        <f t="shared" si="29"/>
        <v/>
      </c>
      <c r="F429" s="9" t="str">
        <f t="shared" si="30"/>
        <v/>
      </c>
      <c r="G429" s="10"/>
      <c r="H429" s="10" t="str">
        <f>IF(A429="","",G429+Q429)</f>
        <v/>
      </c>
      <c r="M429" t="str">
        <f>IF(A429="","",IF(Q429="", "", ROUND(20 * EXP(LN(50/20) * ((HOUR(Q429)*60 + MINUTE(Q429) - 30) / 30)), 2) * R429 * (1 - S429)))</f>
        <v/>
      </c>
      <c r="P429" t="str" cm="1">
        <f t="array" aca="1" ref="P429" ca="1">IF(AND(A429&lt;&gt;"", C429&lt;&gt;""),
   SUMPRODUCT(--(TEXT(DATE(YEAR(TODAY()), MONTH(TODAY()), ROW(INDIRECT("1:" &amp; DAY(EOMONTH(TODAY(), 0))))), "dddd")=C429)),
   "")</f>
        <v/>
      </c>
      <c r="Q429" s="12"/>
      <c r="R429" s="11" t="str">
        <f t="shared" si="27"/>
        <v/>
      </c>
      <c r="U429" s="13"/>
    </row>
    <row r="430" spans="2:21" ht="18" x14ac:dyDescent="0.35">
      <c r="B430" t="str">
        <f>IF(A430="", "", IF(Q430="", "", IF(Q430=TIME(0,30,0), "Half Hour", IF(Q430=TIME(1,0,0), "Hour", TEXT(Q430*1440, "0") &amp; " Minutes"))))</f>
        <v/>
      </c>
      <c r="D430" s="9" t="str">
        <f t="shared" si="28"/>
        <v/>
      </c>
      <c r="E430" t="str">
        <f t="shared" si="29"/>
        <v/>
      </c>
      <c r="F430" s="9" t="str">
        <f t="shared" si="30"/>
        <v/>
      </c>
      <c r="G430" s="10"/>
      <c r="H430" s="10" t="str">
        <f>IF(A430="","",G430+Q430)</f>
        <v/>
      </c>
      <c r="M430" t="str">
        <f>IF(A430="","",IF(Q430="", "", ROUND(20 * EXP(LN(50/20) * ((HOUR(Q430)*60 + MINUTE(Q430) - 30) / 30)), 2) * R430 * (1 - S430)))</f>
        <v/>
      </c>
      <c r="P430" t="str" cm="1">
        <f t="array" aca="1" ref="P430" ca="1">IF(AND(A430&lt;&gt;"", C430&lt;&gt;""),
   SUMPRODUCT(--(TEXT(DATE(YEAR(TODAY()), MONTH(TODAY()), ROW(INDIRECT("1:" &amp; DAY(EOMONTH(TODAY(), 0))))), "dddd")=C430)),
   "")</f>
        <v/>
      </c>
      <c r="Q430" s="12"/>
      <c r="R430" s="11" t="str">
        <f t="shared" si="27"/>
        <v/>
      </c>
      <c r="U430" s="13"/>
    </row>
    <row r="431" spans="2:21" ht="18" x14ac:dyDescent="0.35">
      <c r="B431" t="str">
        <f>IF(A431="", "", IF(Q431="", "", IF(Q431=TIME(0,30,0), "Half Hour", IF(Q431=TIME(1,0,0), "Hour", TEXT(Q431*1440, "0") &amp; " Minutes"))))</f>
        <v/>
      </c>
      <c r="D431" s="9" t="str">
        <f t="shared" si="28"/>
        <v/>
      </c>
      <c r="E431" t="str">
        <f t="shared" si="29"/>
        <v/>
      </c>
      <c r="F431" s="9" t="str">
        <f t="shared" si="30"/>
        <v/>
      </c>
      <c r="G431" s="10"/>
      <c r="H431" s="10" t="str">
        <f>IF(A431="","",G431+Q431)</f>
        <v/>
      </c>
      <c r="M431" t="str">
        <f>IF(A431="","",IF(Q431="", "", ROUND(20 * EXP(LN(50/20) * ((HOUR(Q431)*60 + MINUTE(Q431) - 30) / 30)), 2) * R431 * (1 - S431)))</f>
        <v/>
      </c>
      <c r="P431" t="str" cm="1">
        <f t="array" aca="1" ref="P431" ca="1">IF(AND(A431&lt;&gt;"", C431&lt;&gt;""),
   SUMPRODUCT(--(TEXT(DATE(YEAR(TODAY()), MONTH(TODAY()), ROW(INDIRECT("1:" &amp; DAY(EOMONTH(TODAY(), 0))))), "dddd")=C431)),
   "")</f>
        <v/>
      </c>
      <c r="Q431" s="12"/>
      <c r="R431" s="11" t="str">
        <f t="shared" si="27"/>
        <v/>
      </c>
      <c r="U431" s="13"/>
    </row>
    <row r="432" spans="2:21" ht="18" x14ac:dyDescent="0.35">
      <c r="B432" t="str">
        <f>IF(A432="", "", IF(Q432="", "", IF(Q432=TIME(0,30,0), "Half Hour", IF(Q432=TIME(1,0,0), "Hour", TEXT(Q432*1440, "0") &amp; " Minutes"))))</f>
        <v/>
      </c>
      <c r="D432" s="9" t="str">
        <f t="shared" si="28"/>
        <v/>
      </c>
      <c r="E432" t="str">
        <f t="shared" si="29"/>
        <v/>
      </c>
      <c r="F432" s="9" t="str">
        <f t="shared" si="30"/>
        <v/>
      </c>
      <c r="G432" s="10"/>
      <c r="H432" s="10" t="str">
        <f>IF(A432="","",G432+Q432)</f>
        <v/>
      </c>
      <c r="M432" t="str">
        <f>IF(A432="","",IF(Q432="", "", ROUND(20 * EXP(LN(50/20) * ((HOUR(Q432)*60 + MINUTE(Q432) - 30) / 30)), 2) * R432 * (1 - S432)))</f>
        <v/>
      </c>
      <c r="P432" t="str" cm="1">
        <f t="array" aca="1" ref="P432" ca="1">IF(AND(A432&lt;&gt;"", C432&lt;&gt;""),
   SUMPRODUCT(--(TEXT(DATE(YEAR(TODAY()), MONTH(TODAY()), ROW(INDIRECT("1:" &amp; DAY(EOMONTH(TODAY(), 0))))), "dddd")=C432)),
   "")</f>
        <v/>
      </c>
      <c r="Q432" s="12"/>
      <c r="R432" s="11" t="str">
        <f t="shared" si="27"/>
        <v/>
      </c>
      <c r="U432" s="13"/>
    </row>
    <row r="433" spans="2:21" ht="18" x14ac:dyDescent="0.35">
      <c r="B433" t="str">
        <f>IF(A433="", "", IF(Q433="", "", IF(Q433=TIME(0,30,0), "Half Hour", IF(Q433=TIME(1,0,0), "Hour", TEXT(Q433*1440, "0") &amp; " Minutes"))))</f>
        <v/>
      </c>
      <c r="D433" s="9" t="str">
        <f t="shared" si="28"/>
        <v/>
      </c>
      <c r="E433" t="str">
        <f t="shared" si="29"/>
        <v/>
      </c>
      <c r="F433" s="9" t="str">
        <f t="shared" si="30"/>
        <v/>
      </c>
      <c r="G433" s="10"/>
      <c r="H433" s="10" t="str">
        <f>IF(A433="","",G433+Q433)</f>
        <v/>
      </c>
      <c r="M433" t="str">
        <f>IF(A433="","",IF(Q433="", "", ROUND(20 * EXP(LN(50/20) * ((HOUR(Q433)*60 + MINUTE(Q433) - 30) / 30)), 2) * R433 * (1 - S433)))</f>
        <v/>
      </c>
      <c r="P433" t="str" cm="1">
        <f t="array" aca="1" ref="P433" ca="1">IF(AND(A433&lt;&gt;"", C433&lt;&gt;""),
   SUMPRODUCT(--(TEXT(DATE(YEAR(TODAY()), MONTH(TODAY()), ROW(INDIRECT("1:" &amp; DAY(EOMONTH(TODAY(), 0))))), "dddd")=C433)),
   "")</f>
        <v/>
      </c>
      <c r="Q433" s="12"/>
      <c r="R433" s="11" t="str">
        <f t="shared" si="27"/>
        <v/>
      </c>
      <c r="U433" s="13"/>
    </row>
    <row r="434" spans="2:21" ht="18" x14ac:dyDescent="0.35">
      <c r="B434" t="str">
        <f>IF(A434="", "", IF(Q434="", "", IF(Q434=TIME(0,30,0), "Half Hour", IF(Q434=TIME(1,0,0), "Hour", TEXT(Q434*1440, "0") &amp; " Minutes"))))</f>
        <v/>
      </c>
      <c r="D434" s="9" t="str">
        <f t="shared" si="28"/>
        <v/>
      </c>
      <c r="E434" t="str">
        <f t="shared" si="29"/>
        <v/>
      </c>
      <c r="F434" s="9" t="str">
        <f t="shared" si="30"/>
        <v/>
      </c>
      <c r="G434" s="10"/>
      <c r="H434" s="10" t="str">
        <f>IF(A434="","",G434+Q434)</f>
        <v/>
      </c>
      <c r="M434" t="str">
        <f>IF(A434="","",IF(Q434="", "", ROUND(20 * EXP(LN(50/20) * ((HOUR(Q434)*60 + MINUTE(Q434) - 30) / 30)), 2) * R434 * (1 - S434)))</f>
        <v/>
      </c>
      <c r="P434" t="str" cm="1">
        <f t="array" aca="1" ref="P434" ca="1">IF(AND(A434&lt;&gt;"", C434&lt;&gt;""),
   SUMPRODUCT(--(TEXT(DATE(YEAR(TODAY()), MONTH(TODAY()), ROW(INDIRECT("1:" &amp; DAY(EOMONTH(TODAY(), 0))))), "dddd")=C434)),
   "")</f>
        <v/>
      </c>
      <c r="Q434" s="12"/>
      <c r="R434" s="11" t="str">
        <f t="shared" si="27"/>
        <v/>
      </c>
      <c r="U434" s="13"/>
    </row>
    <row r="435" spans="2:21" ht="18" x14ac:dyDescent="0.35">
      <c r="B435" t="str">
        <f>IF(A435="", "", IF(Q435="", "", IF(Q435=TIME(0,30,0), "Half Hour", IF(Q435=TIME(1,0,0), "Hour", TEXT(Q435*1440, "0") &amp; " Minutes"))))</f>
        <v/>
      </c>
      <c r="D435" s="9" t="str">
        <f t="shared" si="28"/>
        <v/>
      </c>
      <c r="E435" t="str">
        <f t="shared" si="29"/>
        <v/>
      </c>
      <c r="F435" s="9" t="str">
        <f t="shared" si="30"/>
        <v/>
      </c>
      <c r="G435" s="10"/>
      <c r="H435" s="10" t="str">
        <f>IF(A435="","",G435+Q435)</f>
        <v/>
      </c>
      <c r="M435" t="str">
        <f>IF(A435="","",IF(Q435="", "", ROUND(20 * EXP(LN(50/20) * ((HOUR(Q435)*60 + MINUTE(Q435) - 30) / 30)), 2) * R435 * (1 - S435)))</f>
        <v/>
      </c>
      <c r="P435" t="str" cm="1">
        <f t="array" aca="1" ref="P435" ca="1">IF(AND(A435&lt;&gt;"", C435&lt;&gt;""),
   SUMPRODUCT(--(TEXT(DATE(YEAR(TODAY()), MONTH(TODAY()), ROW(INDIRECT("1:" &amp; DAY(EOMONTH(TODAY(), 0))))), "dddd")=C435)),
   "")</f>
        <v/>
      </c>
      <c r="Q435" s="12"/>
      <c r="R435" s="11" t="str">
        <f t="shared" si="27"/>
        <v/>
      </c>
      <c r="U435" s="13"/>
    </row>
    <row r="436" spans="2:21" ht="18" x14ac:dyDescent="0.35">
      <c r="B436" t="str">
        <f>IF(A436="", "", IF(Q436="", "", IF(Q436=TIME(0,30,0), "Half Hour", IF(Q436=TIME(1,0,0), "Hour", TEXT(Q436*1440, "0") &amp; " Minutes"))))</f>
        <v/>
      </c>
      <c r="D436" s="9" t="str">
        <f t="shared" si="28"/>
        <v/>
      </c>
      <c r="E436" t="str">
        <f t="shared" si="29"/>
        <v/>
      </c>
      <c r="F436" s="9" t="str">
        <f t="shared" si="30"/>
        <v/>
      </c>
      <c r="G436" s="10"/>
      <c r="H436" s="10" t="str">
        <f>IF(A436="","",G436+Q436)</f>
        <v/>
      </c>
      <c r="M436" t="str">
        <f>IF(A436="","",IF(Q436="", "", ROUND(20 * EXP(LN(50/20) * ((HOUR(Q436)*60 + MINUTE(Q436) - 30) / 30)), 2) * R436 * (1 - S436)))</f>
        <v/>
      </c>
      <c r="P436" t="str" cm="1">
        <f t="array" aca="1" ref="P436" ca="1">IF(AND(A436&lt;&gt;"", C436&lt;&gt;""),
   SUMPRODUCT(--(TEXT(DATE(YEAR(TODAY()), MONTH(TODAY()), ROW(INDIRECT("1:" &amp; DAY(EOMONTH(TODAY(), 0))))), "dddd")=C436)),
   "")</f>
        <v/>
      </c>
      <c r="Q436" s="12"/>
      <c r="R436" s="11" t="str">
        <f t="shared" si="27"/>
        <v/>
      </c>
      <c r="U436" s="13"/>
    </row>
    <row r="437" spans="2:21" ht="18" x14ac:dyDescent="0.35">
      <c r="B437" t="str">
        <f>IF(A437="", "", IF(Q437="", "", IF(Q437=TIME(0,30,0), "Half Hour", IF(Q437=TIME(1,0,0), "Hour", TEXT(Q437*1440, "0") &amp; " Minutes"))))</f>
        <v/>
      </c>
      <c r="D437" s="9" t="str">
        <f t="shared" si="28"/>
        <v/>
      </c>
      <c r="E437" t="str">
        <f t="shared" si="29"/>
        <v/>
      </c>
      <c r="F437" s="9" t="str">
        <f t="shared" si="30"/>
        <v/>
      </c>
      <c r="G437" s="10"/>
      <c r="H437" s="10" t="str">
        <f>IF(A437="","",G437+Q437)</f>
        <v/>
      </c>
      <c r="M437" t="str">
        <f>IF(A437="","",IF(Q437="", "", ROUND(20 * EXP(LN(50/20) * ((HOUR(Q437)*60 + MINUTE(Q437) - 30) / 30)), 2) * R437 * (1 - S437)))</f>
        <v/>
      </c>
      <c r="P437" t="str" cm="1">
        <f t="array" aca="1" ref="P437" ca="1">IF(AND(A437&lt;&gt;"", C437&lt;&gt;""),
   SUMPRODUCT(--(TEXT(DATE(YEAR(TODAY()), MONTH(TODAY()), ROW(INDIRECT("1:" &amp; DAY(EOMONTH(TODAY(), 0))))), "dddd")=C437)),
   "")</f>
        <v/>
      </c>
      <c r="Q437" s="12"/>
      <c r="R437" s="11" t="str">
        <f t="shared" si="27"/>
        <v/>
      </c>
      <c r="U437" s="13"/>
    </row>
    <row r="438" spans="2:21" ht="18" x14ac:dyDescent="0.35">
      <c r="B438" t="str">
        <f>IF(A438="", "", IF(Q438="", "", IF(Q438=TIME(0,30,0), "Half Hour", IF(Q438=TIME(1,0,0), "Hour", TEXT(Q438*1440, "0") &amp; " Minutes"))))</f>
        <v/>
      </c>
      <c r="D438" s="9" t="str">
        <f t="shared" si="28"/>
        <v/>
      </c>
      <c r="E438" t="str">
        <f t="shared" si="29"/>
        <v/>
      </c>
      <c r="F438" s="9" t="str">
        <f t="shared" si="30"/>
        <v/>
      </c>
      <c r="G438" s="10"/>
      <c r="H438" s="10" t="str">
        <f>IF(A438="","",G438+Q438)</f>
        <v/>
      </c>
      <c r="M438" t="str">
        <f>IF(A438="","",IF(Q438="", "", ROUND(20 * EXP(LN(50/20) * ((HOUR(Q438)*60 + MINUTE(Q438) - 30) / 30)), 2) * R438 * (1 - S438)))</f>
        <v/>
      </c>
      <c r="P438" t="str" cm="1">
        <f t="array" aca="1" ref="P438" ca="1">IF(AND(A438&lt;&gt;"", C438&lt;&gt;""),
   SUMPRODUCT(--(TEXT(DATE(YEAR(TODAY()), MONTH(TODAY()), ROW(INDIRECT("1:" &amp; DAY(EOMONTH(TODAY(), 0))))), "dddd")=C438)),
   "")</f>
        <v/>
      </c>
      <c r="Q438" s="12"/>
      <c r="R438" s="11" t="str">
        <f t="shared" si="27"/>
        <v/>
      </c>
      <c r="U438" s="13"/>
    </row>
    <row r="439" spans="2:21" ht="18" x14ac:dyDescent="0.35">
      <c r="B439" t="str">
        <f>IF(A439="", "", IF(Q439="", "", IF(Q439=TIME(0,30,0), "Half Hour", IF(Q439=TIME(1,0,0), "Hour", TEXT(Q439*1440, "0") &amp; " Minutes"))))</f>
        <v/>
      </c>
      <c r="D439" s="9" t="str">
        <f t="shared" si="28"/>
        <v/>
      </c>
      <c r="E439" t="str">
        <f t="shared" si="29"/>
        <v/>
      </c>
      <c r="F439" s="9" t="str">
        <f t="shared" si="30"/>
        <v/>
      </c>
      <c r="G439" s="10"/>
      <c r="H439" s="10" t="str">
        <f>IF(A439="","",G439+Q439)</f>
        <v/>
      </c>
      <c r="M439" t="str">
        <f>IF(A439="","",IF(Q439="", "", ROUND(20 * EXP(LN(50/20) * ((HOUR(Q439)*60 + MINUTE(Q439) - 30) / 30)), 2) * R439 * (1 - S439)))</f>
        <v/>
      </c>
      <c r="P439" t="str" cm="1">
        <f t="array" aca="1" ref="P439" ca="1">IF(AND(A439&lt;&gt;"", C439&lt;&gt;""),
   SUMPRODUCT(--(TEXT(DATE(YEAR(TODAY()), MONTH(TODAY()), ROW(INDIRECT("1:" &amp; DAY(EOMONTH(TODAY(), 0))))), "dddd")=C439)),
   "")</f>
        <v/>
      </c>
      <c r="Q439" s="12"/>
      <c r="R439" s="11" t="str">
        <f t="shared" si="27"/>
        <v/>
      </c>
      <c r="U439" s="13"/>
    </row>
    <row r="440" spans="2:21" ht="18" x14ac:dyDescent="0.35">
      <c r="B440" t="str">
        <f>IF(A440="", "", IF(Q440="", "", IF(Q440=TIME(0,30,0), "Half Hour", IF(Q440=TIME(1,0,0), "Hour", TEXT(Q440*1440, "0") &amp; " Minutes"))))</f>
        <v/>
      </c>
      <c r="D440" s="9" t="str">
        <f t="shared" si="28"/>
        <v/>
      </c>
      <c r="E440" t="str">
        <f t="shared" si="29"/>
        <v/>
      </c>
      <c r="F440" s="9" t="str">
        <f t="shared" si="30"/>
        <v/>
      </c>
      <c r="G440" s="10"/>
      <c r="H440" s="10" t="str">
        <f>IF(A440="","",G440+Q440)</f>
        <v/>
      </c>
      <c r="M440" t="str">
        <f>IF(A440="","",IF(Q440="", "", ROUND(20 * EXP(LN(50/20) * ((HOUR(Q440)*60 + MINUTE(Q440) - 30) / 30)), 2) * R440 * (1 - S440)))</f>
        <v/>
      </c>
      <c r="P440" t="str" cm="1">
        <f t="array" aca="1" ref="P440" ca="1">IF(AND(A440&lt;&gt;"", C440&lt;&gt;""),
   SUMPRODUCT(--(TEXT(DATE(YEAR(TODAY()), MONTH(TODAY()), ROW(INDIRECT("1:" &amp; DAY(EOMONTH(TODAY(), 0))))), "dddd")=C440)),
   "")</f>
        <v/>
      </c>
      <c r="Q440" s="12"/>
      <c r="R440" s="11" t="str">
        <f t="shared" si="27"/>
        <v/>
      </c>
      <c r="U440" s="13"/>
    </row>
    <row r="441" spans="2:21" ht="18" x14ac:dyDescent="0.35">
      <c r="B441" t="str">
        <f>IF(A441="", "", IF(Q441="", "", IF(Q441=TIME(0,30,0), "Half Hour", IF(Q441=TIME(1,0,0), "Hour", TEXT(Q441*1440, "0") &amp; " Minutes"))))</f>
        <v/>
      </c>
      <c r="D441" s="9" t="str">
        <f t="shared" si="28"/>
        <v/>
      </c>
      <c r="E441" t="str">
        <f t="shared" si="29"/>
        <v/>
      </c>
      <c r="F441" s="9" t="str">
        <f t="shared" si="30"/>
        <v/>
      </c>
      <c r="G441" s="10"/>
      <c r="H441" s="10" t="str">
        <f>IF(A441="","",G441+Q441)</f>
        <v/>
      </c>
      <c r="M441" t="str">
        <f>IF(A441="","",IF(Q441="", "", ROUND(20 * EXP(LN(50/20) * ((HOUR(Q441)*60 + MINUTE(Q441) - 30) / 30)), 2) * R441 * (1 - S441)))</f>
        <v/>
      </c>
      <c r="P441" t="str" cm="1">
        <f t="array" aca="1" ref="P441" ca="1">IF(AND(A441&lt;&gt;"", C441&lt;&gt;""),
   SUMPRODUCT(--(TEXT(DATE(YEAR(TODAY()), MONTH(TODAY()), ROW(INDIRECT("1:" &amp; DAY(EOMONTH(TODAY(), 0))))), "dddd")=C441)),
   "")</f>
        <v/>
      </c>
      <c r="Q441" s="12"/>
      <c r="R441" s="11" t="str">
        <f t="shared" si="27"/>
        <v/>
      </c>
      <c r="U441" s="13"/>
    </row>
    <row r="442" spans="2:21" ht="18" x14ac:dyDescent="0.35">
      <c r="B442" t="str">
        <f>IF(A442="", "", IF(Q442="", "", IF(Q442=TIME(0,30,0), "Half Hour", IF(Q442=TIME(1,0,0), "Hour", TEXT(Q442*1440, "0") &amp; " Minutes"))))</f>
        <v/>
      </c>
      <c r="D442" s="9" t="str">
        <f t="shared" si="28"/>
        <v/>
      </c>
      <c r="E442" t="str">
        <f t="shared" si="29"/>
        <v/>
      </c>
      <c r="F442" s="9" t="str">
        <f t="shared" si="30"/>
        <v/>
      </c>
      <c r="G442" s="10"/>
      <c r="H442" s="10" t="str">
        <f>IF(A442="","",G442+Q442)</f>
        <v/>
      </c>
      <c r="M442" t="str">
        <f>IF(A442="","",IF(Q442="", "", ROUND(20 * EXP(LN(50/20) * ((HOUR(Q442)*60 + MINUTE(Q442) - 30) / 30)), 2) * R442 * (1 - S442)))</f>
        <v/>
      </c>
      <c r="P442" t="str" cm="1">
        <f t="array" aca="1" ref="P442" ca="1">IF(AND(A442&lt;&gt;"", C442&lt;&gt;""),
   SUMPRODUCT(--(TEXT(DATE(YEAR(TODAY()), MONTH(TODAY()), ROW(INDIRECT("1:" &amp; DAY(EOMONTH(TODAY(), 0))))), "dddd")=C442)),
   "")</f>
        <v/>
      </c>
      <c r="Q442" s="12"/>
      <c r="R442" s="11" t="str">
        <f t="shared" si="27"/>
        <v/>
      </c>
      <c r="U442" s="13"/>
    </row>
    <row r="443" spans="2:21" ht="18" x14ac:dyDescent="0.35">
      <c r="B443" t="str">
        <f>IF(A443="", "", IF(Q443="", "", IF(Q443=TIME(0,30,0), "Half Hour", IF(Q443=TIME(1,0,0), "Hour", TEXT(Q443*1440, "0") &amp; " Minutes"))))</f>
        <v/>
      </c>
      <c r="D443" s="9" t="str">
        <f t="shared" si="28"/>
        <v/>
      </c>
      <c r="E443" t="str">
        <f t="shared" si="29"/>
        <v/>
      </c>
      <c r="F443" s="9" t="str">
        <f t="shared" si="30"/>
        <v/>
      </c>
      <c r="G443" s="10"/>
      <c r="H443" s="10" t="str">
        <f>IF(A443="","",G443+Q443)</f>
        <v/>
      </c>
      <c r="M443" t="str">
        <f>IF(A443="","",IF(Q443="", "", ROUND(20 * EXP(LN(50/20) * ((HOUR(Q443)*60 + MINUTE(Q443) - 30) / 30)), 2) * R443 * (1 - S443)))</f>
        <v/>
      </c>
      <c r="P443" t="str" cm="1">
        <f t="array" aca="1" ref="P443" ca="1">IF(AND(A443&lt;&gt;"", C443&lt;&gt;""),
   SUMPRODUCT(--(TEXT(DATE(YEAR(TODAY()), MONTH(TODAY()), ROW(INDIRECT("1:" &amp; DAY(EOMONTH(TODAY(), 0))))), "dddd")=C443)),
   "")</f>
        <v/>
      </c>
      <c r="Q443" s="12"/>
      <c r="R443" s="11" t="str">
        <f t="shared" si="27"/>
        <v/>
      </c>
      <c r="U443" s="13"/>
    </row>
    <row r="444" spans="2:21" ht="18" x14ac:dyDescent="0.35">
      <c r="B444" t="str">
        <f>IF(A444="", "", IF(Q444="", "", IF(Q444=TIME(0,30,0), "Half Hour", IF(Q444=TIME(1,0,0), "Hour", TEXT(Q444*1440, "0") &amp; " Minutes"))))</f>
        <v/>
      </c>
      <c r="D444" s="9" t="str">
        <f t="shared" si="28"/>
        <v/>
      </c>
      <c r="E444" t="str">
        <f t="shared" si="29"/>
        <v/>
      </c>
      <c r="F444" s="9" t="str">
        <f t="shared" si="30"/>
        <v/>
      </c>
      <c r="G444" s="10"/>
      <c r="H444" s="10" t="str">
        <f>IF(A444="","",G444+Q444)</f>
        <v/>
      </c>
      <c r="M444" t="str">
        <f>IF(A444="","",IF(Q444="", "", ROUND(20 * EXP(LN(50/20) * ((HOUR(Q444)*60 + MINUTE(Q444) - 30) / 30)), 2) * R444 * (1 - S444)))</f>
        <v/>
      </c>
      <c r="P444" t="str" cm="1">
        <f t="array" aca="1" ref="P444" ca="1">IF(AND(A444&lt;&gt;"", C444&lt;&gt;""),
   SUMPRODUCT(--(TEXT(DATE(YEAR(TODAY()), MONTH(TODAY()), ROW(INDIRECT("1:" &amp; DAY(EOMONTH(TODAY(), 0))))), "dddd")=C444)),
   "")</f>
        <v/>
      </c>
      <c r="Q444" s="12"/>
      <c r="R444" s="11" t="str">
        <f t="shared" si="27"/>
        <v/>
      </c>
      <c r="U444" s="13"/>
    </row>
    <row r="445" spans="2:21" ht="18" x14ac:dyDescent="0.35">
      <c r="B445" t="str">
        <f>IF(A445="", "", IF(Q445="", "", IF(Q445=TIME(0,30,0), "Half Hour", IF(Q445=TIME(1,0,0), "Hour", TEXT(Q445*1440, "0") &amp; " Minutes"))))</f>
        <v/>
      </c>
      <c r="D445" s="9" t="str">
        <f t="shared" si="28"/>
        <v/>
      </c>
      <c r="E445" t="str">
        <f t="shared" si="29"/>
        <v/>
      </c>
      <c r="F445" s="9" t="str">
        <f t="shared" si="30"/>
        <v/>
      </c>
      <c r="G445" s="10"/>
      <c r="H445" s="10" t="str">
        <f>IF(A445="","",G445+Q445)</f>
        <v/>
      </c>
      <c r="M445" t="str">
        <f>IF(A445="","",IF(Q445="", "", ROUND(20 * EXP(LN(50/20) * ((HOUR(Q445)*60 + MINUTE(Q445) - 30) / 30)), 2) * R445 * (1 - S445)))</f>
        <v/>
      </c>
      <c r="P445" t="str" cm="1">
        <f t="array" aca="1" ref="P445" ca="1">IF(AND(A445&lt;&gt;"", C445&lt;&gt;""),
   SUMPRODUCT(--(TEXT(DATE(YEAR(TODAY()), MONTH(TODAY()), ROW(INDIRECT("1:" &amp; DAY(EOMONTH(TODAY(), 0))))), "dddd")=C445)),
   "")</f>
        <v/>
      </c>
      <c r="Q445" s="12"/>
      <c r="R445" s="11" t="str">
        <f t="shared" si="27"/>
        <v/>
      </c>
      <c r="U445" s="13"/>
    </row>
    <row r="446" spans="2:21" ht="18" x14ac:dyDescent="0.35">
      <c r="B446" t="str">
        <f>IF(A446="", "", IF(Q446="", "", IF(Q446=TIME(0,30,0), "Half Hour", IF(Q446=TIME(1,0,0), "Hour", TEXT(Q446*1440, "0") &amp; " Minutes"))))</f>
        <v/>
      </c>
      <c r="D446" s="9" t="str">
        <f t="shared" si="28"/>
        <v/>
      </c>
      <c r="E446" t="str">
        <f t="shared" si="29"/>
        <v/>
      </c>
      <c r="F446" s="9" t="str">
        <f t="shared" si="30"/>
        <v/>
      </c>
      <c r="G446" s="10"/>
      <c r="H446" s="10" t="str">
        <f>IF(A446="","",G446+Q446)</f>
        <v/>
      </c>
      <c r="M446" t="str">
        <f>IF(A446="","",IF(Q446="", "", ROUND(20 * EXP(LN(50/20) * ((HOUR(Q446)*60 + MINUTE(Q446) - 30) / 30)), 2) * R446 * (1 - S446)))</f>
        <v/>
      </c>
      <c r="P446" t="str" cm="1">
        <f t="array" aca="1" ref="P446" ca="1">IF(AND(A446&lt;&gt;"", C446&lt;&gt;""),
   SUMPRODUCT(--(TEXT(DATE(YEAR(TODAY()), MONTH(TODAY()), ROW(INDIRECT("1:" &amp; DAY(EOMONTH(TODAY(), 0))))), "dddd")=C446)),
   "")</f>
        <v/>
      </c>
      <c r="Q446" s="12"/>
      <c r="R446" s="11" t="str">
        <f t="shared" si="27"/>
        <v/>
      </c>
      <c r="U446" s="13"/>
    </row>
    <row r="447" spans="2:21" ht="18" x14ac:dyDescent="0.35">
      <c r="B447" t="str">
        <f>IF(A447="", "", IF(Q447="", "", IF(Q447=TIME(0,30,0), "Half Hour", IF(Q447=TIME(1,0,0), "Hour", TEXT(Q447*1440, "0") &amp; " Minutes"))))</f>
        <v/>
      </c>
      <c r="D447" s="9" t="str">
        <f t="shared" si="28"/>
        <v/>
      </c>
      <c r="E447" t="str">
        <f t="shared" si="29"/>
        <v/>
      </c>
      <c r="F447" s="9" t="str">
        <f t="shared" si="30"/>
        <v/>
      </c>
      <c r="G447" s="10"/>
      <c r="H447" s="10" t="str">
        <f>IF(A447="","",G447+Q447)</f>
        <v/>
      </c>
      <c r="M447" t="str">
        <f>IF(A447="","",IF(Q447="", "", ROUND(20 * EXP(LN(50/20) * ((HOUR(Q447)*60 + MINUTE(Q447) - 30) / 30)), 2) * R447 * (1 - S447)))</f>
        <v/>
      </c>
      <c r="P447" t="str" cm="1">
        <f t="array" aca="1" ref="P447" ca="1">IF(AND(A447&lt;&gt;"", C447&lt;&gt;""),
   SUMPRODUCT(--(TEXT(DATE(YEAR(TODAY()), MONTH(TODAY()), ROW(INDIRECT("1:" &amp; DAY(EOMONTH(TODAY(), 0))))), "dddd")=C447)),
   "")</f>
        <v/>
      </c>
      <c r="Q447" s="12"/>
      <c r="R447" s="11" t="str">
        <f t="shared" si="27"/>
        <v/>
      </c>
      <c r="U447" s="13"/>
    </row>
    <row r="448" spans="2:21" ht="18" x14ac:dyDescent="0.35">
      <c r="B448" t="str">
        <f>IF(A448="", "", IF(Q448="", "", IF(Q448=TIME(0,30,0), "Half Hour", IF(Q448=TIME(1,0,0), "Hour", TEXT(Q448*1440, "0") &amp; " Minutes"))))</f>
        <v/>
      </c>
      <c r="D448" s="9" t="str">
        <f t="shared" si="28"/>
        <v/>
      </c>
      <c r="E448" t="str">
        <f t="shared" si="29"/>
        <v/>
      </c>
      <c r="F448" s="9" t="str">
        <f t="shared" si="30"/>
        <v/>
      </c>
      <c r="G448" s="10"/>
      <c r="H448" s="10" t="str">
        <f>IF(A448="","",G448+Q448)</f>
        <v/>
      </c>
      <c r="M448" t="str">
        <f>IF(A448="","",IF(Q448="", "", ROUND(20 * EXP(LN(50/20) * ((HOUR(Q448)*60 + MINUTE(Q448) - 30) / 30)), 2) * R448 * (1 - S448)))</f>
        <v/>
      </c>
      <c r="P448" t="str" cm="1">
        <f t="array" aca="1" ref="P448" ca="1">IF(AND(A448&lt;&gt;"", C448&lt;&gt;""),
   SUMPRODUCT(--(TEXT(DATE(YEAR(TODAY()), MONTH(TODAY()), ROW(INDIRECT("1:" &amp; DAY(EOMONTH(TODAY(), 0))))), "dddd")=C448)),
   "")</f>
        <v/>
      </c>
      <c r="Q448" s="12"/>
      <c r="R448" s="11" t="str">
        <f t="shared" si="27"/>
        <v/>
      </c>
      <c r="U448" s="13"/>
    </row>
    <row r="449" spans="2:21" ht="18" x14ac:dyDescent="0.35">
      <c r="B449" t="str">
        <f>IF(A449="", "", IF(Q449="", "", IF(Q449=TIME(0,30,0), "Half Hour", IF(Q449=TIME(1,0,0), "Hour", TEXT(Q449*1440, "0") &amp; " Minutes"))))</f>
        <v/>
      </c>
      <c r="D449" s="9" t="str">
        <f t="shared" si="28"/>
        <v/>
      </c>
      <c r="E449" t="str">
        <f t="shared" si="29"/>
        <v/>
      </c>
      <c r="F449" s="9" t="str">
        <f t="shared" si="30"/>
        <v/>
      </c>
      <c r="G449" s="10"/>
      <c r="H449" s="10" t="str">
        <f>IF(A449="","",G449+Q449)</f>
        <v/>
      </c>
      <c r="M449" t="str">
        <f>IF(A449="","",IF(Q449="", "", ROUND(20 * EXP(LN(50/20) * ((HOUR(Q449)*60 + MINUTE(Q449) - 30) / 30)), 2) * R449 * (1 - S449)))</f>
        <v/>
      </c>
      <c r="P449" t="str" cm="1">
        <f t="array" aca="1" ref="P449" ca="1">IF(AND(A449&lt;&gt;"", C449&lt;&gt;""),
   SUMPRODUCT(--(TEXT(DATE(YEAR(TODAY()), MONTH(TODAY()), ROW(INDIRECT("1:" &amp; DAY(EOMONTH(TODAY(), 0))))), "dddd")=C449)),
   "")</f>
        <v/>
      </c>
      <c r="Q449" s="12"/>
      <c r="R449" s="11" t="str">
        <f t="shared" ref="R449:R500" si="31">IF(A449="", "", IFERROR(VALUE(MID(A449,FIND("(",A449)+1,FIND(")",A449)-FIND("(",A449)-1)), 1))</f>
        <v/>
      </c>
      <c r="U449" s="13"/>
    </row>
    <row r="450" spans="2:21" ht="18" x14ac:dyDescent="0.35">
      <c r="B450" t="str">
        <f>IF(A450="", "", IF(Q450="", "", IF(Q450=TIME(0,30,0), "Half Hour", IF(Q450=TIME(1,0,0), "Hour", TEXT(Q450*1440, "0") &amp; " Minutes"))))</f>
        <v/>
      </c>
      <c r="D450" s="9" t="str">
        <f t="shared" si="28"/>
        <v/>
      </c>
      <c r="E450" t="str">
        <f t="shared" si="29"/>
        <v/>
      </c>
      <c r="F450" s="9" t="str">
        <f t="shared" si="30"/>
        <v/>
      </c>
      <c r="G450" s="10"/>
      <c r="H450" s="10" t="str">
        <f>IF(A450="","",G450+Q450)</f>
        <v/>
      </c>
      <c r="M450" t="str">
        <f>IF(A450="","",IF(Q450="", "", ROUND(20 * EXP(LN(50/20) * ((HOUR(Q450)*60 + MINUTE(Q450) - 30) / 30)), 2) * R450 * (1 - S450)))</f>
        <v/>
      </c>
      <c r="P450" t="str" cm="1">
        <f t="array" aca="1" ref="P450" ca="1">IF(AND(A450&lt;&gt;"", C450&lt;&gt;""),
   SUMPRODUCT(--(TEXT(DATE(YEAR(TODAY()), MONTH(TODAY()), ROW(INDIRECT("1:" &amp; DAY(EOMONTH(TODAY(), 0))))), "dddd")=C450)),
   "")</f>
        <v/>
      </c>
      <c r="Q450" s="12"/>
      <c r="R450" s="11" t="str">
        <f t="shared" si="31"/>
        <v/>
      </c>
      <c r="U450" s="13"/>
    </row>
    <row r="451" spans="2:21" ht="18" x14ac:dyDescent="0.35">
      <c r="B451" t="str">
        <f>IF(A451="", "", IF(Q451="", "", IF(Q451=TIME(0,30,0), "Half Hour", IF(Q451=TIME(1,0,0), "Hour", TEXT(Q451*1440, "0") &amp; " Minutes"))))</f>
        <v/>
      </c>
      <c r="D451" s="9" t="str">
        <f t="shared" ref="D451:D501" si="32">IF(A451="","",F451-IF(E451="",0,E451))</f>
        <v/>
      </c>
      <c r="E451" t="str">
        <f t="shared" ref="E451:E501" si="33">IF(A451="","",IF(L451="No","",1.5*O451))</f>
        <v/>
      </c>
      <c r="F451" s="9" t="str">
        <f t="shared" ref="F451:F501" si="34">IF(A451="","",M451*P451)</f>
        <v/>
      </c>
      <c r="G451" s="10"/>
      <c r="H451" s="10" t="str">
        <f>IF(A451="","",G451+Q451)</f>
        <v/>
      </c>
      <c r="M451" t="str">
        <f>IF(A451="","",IF(Q451="", "", ROUND(20 * EXP(LN(50/20) * ((HOUR(Q451)*60 + MINUTE(Q451) - 30) / 30)), 2) * R451 * (1 - S451)))</f>
        <v/>
      </c>
      <c r="P451" t="str" cm="1">
        <f t="array" aca="1" ref="P451" ca="1">IF(AND(A451&lt;&gt;"", C451&lt;&gt;""),
   SUMPRODUCT(--(TEXT(DATE(YEAR(TODAY()), MONTH(TODAY()), ROW(INDIRECT("1:" &amp; DAY(EOMONTH(TODAY(), 0))))), "dddd")=C451)),
   "")</f>
        <v/>
      </c>
      <c r="Q451" s="12"/>
      <c r="R451" s="11" t="str">
        <f t="shared" si="31"/>
        <v/>
      </c>
      <c r="U451" s="13"/>
    </row>
    <row r="452" spans="2:21" ht="18" x14ac:dyDescent="0.35">
      <c r="B452" t="str">
        <f>IF(A452="", "", IF(Q452="", "", IF(Q452=TIME(0,30,0), "Half Hour", IF(Q452=TIME(1,0,0), "Hour", TEXT(Q452*1440, "0") &amp; " Minutes"))))</f>
        <v/>
      </c>
      <c r="D452" s="9" t="str">
        <f t="shared" si="32"/>
        <v/>
      </c>
      <c r="E452" t="str">
        <f t="shared" si="33"/>
        <v/>
      </c>
      <c r="F452" s="9" t="str">
        <f t="shared" si="34"/>
        <v/>
      </c>
      <c r="G452" s="10"/>
      <c r="H452" s="10" t="str">
        <f>IF(A452="","",G452+Q452)</f>
        <v/>
      </c>
      <c r="M452" t="str">
        <f>IF(A452="","",IF(Q452="", "", ROUND(20 * EXP(LN(50/20) * ((HOUR(Q452)*60 + MINUTE(Q452) - 30) / 30)), 2) * R452 * (1 - S452)))</f>
        <v/>
      </c>
      <c r="P452" t="str" cm="1">
        <f t="array" aca="1" ref="P452" ca="1">IF(AND(A452&lt;&gt;"", C452&lt;&gt;""),
   SUMPRODUCT(--(TEXT(DATE(YEAR(TODAY()), MONTH(TODAY()), ROW(INDIRECT("1:" &amp; DAY(EOMONTH(TODAY(), 0))))), "dddd")=C452)),
   "")</f>
        <v/>
      </c>
      <c r="Q452" s="12"/>
      <c r="R452" s="11" t="str">
        <f t="shared" si="31"/>
        <v/>
      </c>
      <c r="U452" s="13"/>
    </row>
    <row r="453" spans="2:21" ht="18" x14ac:dyDescent="0.35">
      <c r="B453" t="str">
        <f>IF(A453="", "", IF(Q453="", "", IF(Q453=TIME(0,30,0), "Half Hour", IF(Q453=TIME(1,0,0), "Hour", TEXT(Q453*1440, "0") &amp; " Minutes"))))</f>
        <v/>
      </c>
      <c r="D453" s="9" t="str">
        <f t="shared" si="32"/>
        <v/>
      </c>
      <c r="E453" t="str">
        <f t="shared" si="33"/>
        <v/>
      </c>
      <c r="F453" s="9" t="str">
        <f t="shared" si="34"/>
        <v/>
      </c>
      <c r="G453" s="10"/>
      <c r="H453" s="10" t="str">
        <f>IF(A453="","",G453+Q453)</f>
        <v/>
      </c>
      <c r="M453" t="str">
        <f>IF(A453="","",IF(Q453="", "", ROUND(20 * EXP(LN(50/20) * ((HOUR(Q453)*60 + MINUTE(Q453) - 30) / 30)), 2) * R453 * (1 - S453)))</f>
        <v/>
      </c>
      <c r="P453" t="str" cm="1">
        <f t="array" aca="1" ref="P453" ca="1">IF(AND(A453&lt;&gt;"", C453&lt;&gt;""),
   SUMPRODUCT(--(TEXT(DATE(YEAR(TODAY()), MONTH(TODAY()), ROW(INDIRECT("1:" &amp; DAY(EOMONTH(TODAY(), 0))))), "dddd")=C453)),
   "")</f>
        <v/>
      </c>
      <c r="Q453" s="12"/>
      <c r="R453" s="11" t="str">
        <f t="shared" si="31"/>
        <v/>
      </c>
      <c r="U453" s="13"/>
    </row>
    <row r="454" spans="2:21" ht="18" x14ac:dyDescent="0.35">
      <c r="B454" t="str">
        <f>IF(A454="", "", IF(Q454="", "", IF(Q454=TIME(0,30,0), "Half Hour", IF(Q454=TIME(1,0,0), "Hour", TEXT(Q454*1440, "0") &amp; " Minutes"))))</f>
        <v/>
      </c>
      <c r="D454" s="9" t="str">
        <f t="shared" si="32"/>
        <v/>
      </c>
      <c r="E454" t="str">
        <f t="shared" si="33"/>
        <v/>
      </c>
      <c r="F454" s="9" t="str">
        <f t="shared" si="34"/>
        <v/>
      </c>
      <c r="G454" s="10"/>
      <c r="H454" s="10" t="str">
        <f>IF(A454="","",G454+Q454)</f>
        <v/>
      </c>
      <c r="M454" t="str">
        <f>IF(A454="","",IF(Q454="", "", ROUND(20 * EXP(LN(50/20) * ((HOUR(Q454)*60 + MINUTE(Q454) - 30) / 30)), 2) * R454 * (1 - S454)))</f>
        <v/>
      </c>
      <c r="P454" t="str" cm="1">
        <f t="array" aca="1" ref="P454" ca="1">IF(AND(A454&lt;&gt;"", C454&lt;&gt;""),
   SUMPRODUCT(--(TEXT(DATE(YEAR(TODAY()), MONTH(TODAY()), ROW(INDIRECT("1:" &amp; DAY(EOMONTH(TODAY(), 0))))), "dddd")=C454)),
   "")</f>
        <v/>
      </c>
      <c r="Q454" s="12"/>
      <c r="R454" s="11" t="str">
        <f t="shared" si="31"/>
        <v/>
      </c>
      <c r="U454" s="13"/>
    </row>
    <row r="455" spans="2:21" ht="18" x14ac:dyDescent="0.35">
      <c r="B455" t="str">
        <f>IF(A455="", "", IF(Q455="", "", IF(Q455=TIME(0,30,0), "Half Hour", IF(Q455=TIME(1,0,0), "Hour", TEXT(Q455*1440, "0") &amp; " Minutes"))))</f>
        <v/>
      </c>
      <c r="D455" s="9" t="str">
        <f t="shared" si="32"/>
        <v/>
      </c>
      <c r="E455" t="str">
        <f t="shared" si="33"/>
        <v/>
      </c>
      <c r="F455" s="9" t="str">
        <f t="shared" si="34"/>
        <v/>
      </c>
      <c r="G455" s="10"/>
      <c r="H455" s="10" t="str">
        <f>IF(A455="","",G455+Q455)</f>
        <v/>
      </c>
      <c r="M455" t="str">
        <f>IF(A455="","",IF(Q455="", "", ROUND(20 * EXP(LN(50/20) * ((HOUR(Q455)*60 + MINUTE(Q455) - 30) / 30)), 2) * R455 * (1 - S455)))</f>
        <v/>
      </c>
      <c r="P455" t="str" cm="1">
        <f t="array" aca="1" ref="P455" ca="1">IF(AND(A455&lt;&gt;"", C455&lt;&gt;""),
   SUMPRODUCT(--(TEXT(DATE(YEAR(TODAY()), MONTH(TODAY()), ROW(INDIRECT("1:" &amp; DAY(EOMONTH(TODAY(), 0))))), "dddd")=C455)),
   "")</f>
        <v/>
      </c>
      <c r="Q455" s="12"/>
      <c r="R455" s="11" t="str">
        <f t="shared" si="31"/>
        <v/>
      </c>
      <c r="U455" s="13"/>
    </row>
    <row r="456" spans="2:21" ht="18" x14ac:dyDescent="0.35">
      <c r="B456" t="str">
        <f>IF(A456="", "", IF(Q456="", "", IF(Q456=TIME(0,30,0), "Half Hour", IF(Q456=TIME(1,0,0), "Hour", TEXT(Q456*1440, "0") &amp; " Minutes"))))</f>
        <v/>
      </c>
      <c r="D456" s="9" t="str">
        <f t="shared" si="32"/>
        <v/>
      </c>
      <c r="E456" t="str">
        <f t="shared" si="33"/>
        <v/>
      </c>
      <c r="F456" s="9" t="str">
        <f t="shared" si="34"/>
        <v/>
      </c>
      <c r="G456" s="10"/>
      <c r="H456" s="10" t="str">
        <f>IF(A456="","",G456+Q456)</f>
        <v/>
      </c>
      <c r="M456" t="str">
        <f>IF(A456="","",IF(Q456="", "", ROUND(20 * EXP(LN(50/20) * ((HOUR(Q456)*60 + MINUTE(Q456) - 30) / 30)), 2) * R456 * (1 - S456)))</f>
        <v/>
      </c>
      <c r="P456" t="str" cm="1">
        <f t="array" aca="1" ref="P456" ca="1">IF(AND(A456&lt;&gt;"", C456&lt;&gt;""),
   SUMPRODUCT(--(TEXT(DATE(YEAR(TODAY()), MONTH(TODAY()), ROW(INDIRECT("1:" &amp; DAY(EOMONTH(TODAY(), 0))))), "dddd")=C456)),
   "")</f>
        <v/>
      </c>
      <c r="Q456" s="12"/>
      <c r="R456" s="11" t="str">
        <f t="shared" si="31"/>
        <v/>
      </c>
      <c r="U456" s="13"/>
    </row>
    <row r="457" spans="2:21" ht="18" x14ac:dyDescent="0.35">
      <c r="B457" t="str">
        <f>IF(A457="", "", IF(Q457="", "", IF(Q457=TIME(0,30,0), "Half Hour", IF(Q457=TIME(1,0,0), "Hour", TEXT(Q457*1440, "0") &amp; " Minutes"))))</f>
        <v/>
      </c>
      <c r="D457" s="9" t="str">
        <f t="shared" si="32"/>
        <v/>
      </c>
      <c r="E457" t="str">
        <f t="shared" si="33"/>
        <v/>
      </c>
      <c r="F457" s="9" t="str">
        <f t="shared" si="34"/>
        <v/>
      </c>
      <c r="G457" s="10"/>
      <c r="H457" s="10" t="str">
        <f>IF(A457="","",G457+Q457)</f>
        <v/>
      </c>
      <c r="M457" t="str">
        <f>IF(A457="","",IF(Q457="", "", ROUND(20 * EXP(LN(50/20) * ((HOUR(Q457)*60 + MINUTE(Q457) - 30) / 30)), 2) * R457 * (1 - S457)))</f>
        <v/>
      </c>
      <c r="P457" t="str" cm="1">
        <f t="array" aca="1" ref="P457" ca="1">IF(AND(A457&lt;&gt;"", C457&lt;&gt;""),
   SUMPRODUCT(--(TEXT(DATE(YEAR(TODAY()), MONTH(TODAY()), ROW(INDIRECT("1:" &amp; DAY(EOMONTH(TODAY(), 0))))), "dddd")=C457)),
   "")</f>
        <v/>
      </c>
      <c r="Q457" s="12"/>
      <c r="R457" s="11" t="str">
        <f t="shared" si="31"/>
        <v/>
      </c>
      <c r="U457" s="13"/>
    </row>
    <row r="458" spans="2:21" ht="18" x14ac:dyDescent="0.35">
      <c r="B458" t="str">
        <f>IF(A458="", "", IF(Q458="", "", IF(Q458=TIME(0,30,0), "Half Hour", IF(Q458=TIME(1,0,0), "Hour", TEXT(Q458*1440, "0") &amp; " Minutes"))))</f>
        <v/>
      </c>
      <c r="D458" s="9" t="str">
        <f t="shared" si="32"/>
        <v/>
      </c>
      <c r="E458" t="str">
        <f t="shared" si="33"/>
        <v/>
      </c>
      <c r="F458" s="9" t="str">
        <f t="shared" si="34"/>
        <v/>
      </c>
      <c r="G458" s="10"/>
      <c r="H458" s="10" t="str">
        <f>IF(A458="","",G458+Q458)</f>
        <v/>
      </c>
      <c r="M458" t="str">
        <f>IF(A458="","",IF(Q458="", "", ROUND(20 * EXP(LN(50/20) * ((HOUR(Q458)*60 + MINUTE(Q458) - 30) / 30)), 2) * R458 * (1 - S458)))</f>
        <v/>
      </c>
      <c r="P458" t="str" cm="1">
        <f t="array" aca="1" ref="P458" ca="1">IF(AND(A458&lt;&gt;"", C458&lt;&gt;""),
   SUMPRODUCT(--(TEXT(DATE(YEAR(TODAY()), MONTH(TODAY()), ROW(INDIRECT("1:" &amp; DAY(EOMONTH(TODAY(), 0))))), "dddd")=C458)),
   "")</f>
        <v/>
      </c>
      <c r="Q458" s="12"/>
      <c r="R458" s="11" t="str">
        <f t="shared" si="31"/>
        <v/>
      </c>
      <c r="U458" s="13"/>
    </row>
    <row r="459" spans="2:21" ht="18" x14ac:dyDescent="0.35">
      <c r="B459" t="str">
        <f>IF(A459="", "", IF(Q459="", "", IF(Q459=TIME(0,30,0), "Half Hour", IF(Q459=TIME(1,0,0), "Hour", TEXT(Q459*1440, "0") &amp; " Minutes"))))</f>
        <v/>
      </c>
      <c r="D459" s="9" t="str">
        <f t="shared" si="32"/>
        <v/>
      </c>
      <c r="E459" t="str">
        <f t="shared" si="33"/>
        <v/>
      </c>
      <c r="F459" s="9" t="str">
        <f t="shared" si="34"/>
        <v/>
      </c>
      <c r="G459" s="10"/>
      <c r="H459" s="10" t="str">
        <f>IF(A459="","",G459+Q459)</f>
        <v/>
      </c>
      <c r="M459" t="str">
        <f>IF(A459="","",IF(Q459="", "", ROUND(20 * EXP(LN(50/20) * ((HOUR(Q459)*60 + MINUTE(Q459) - 30) / 30)), 2) * R459 * (1 - S459)))</f>
        <v/>
      </c>
      <c r="P459" t="str" cm="1">
        <f t="array" aca="1" ref="P459" ca="1">IF(AND(A459&lt;&gt;"", C459&lt;&gt;""),
   SUMPRODUCT(--(TEXT(DATE(YEAR(TODAY()), MONTH(TODAY()), ROW(INDIRECT("1:" &amp; DAY(EOMONTH(TODAY(), 0))))), "dddd")=C459)),
   "")</f>
        <v/>
      </c>
      <c r="Q459" s="12"/>
      <c r="R459" s="11" t="str">
        <f t="shared" si="31"/>
        <v/>
      </c>
      <c r="U459" s="13"/>
    </row>
    <row r="460" spans="2:21" ht="18" x14ac:dyDescent="0.35">
      <c r="B460" t="str">
        <f>IF(A460="", "", IF(Q460="", "", IF(Q460=TIME(0,30,0), "Half Hour", IF(Q460=TIME(1,0,0), "Hour", TEXT(Q460*1440, "0") &amp; " Minutes"))))</f>
        <v/>
      </c>
      <c r="D460" s="9" t="str">
        <f t="shared" si="32"/>
        <v/>
      </c>
      <c r="E460" t="str">
        <f t="shared" si="33"/>
        <v/>
      </c>
      <c r="F460" s="9" t="str">
        <f t="shared" si="34"/>
        <v/>
      </c>
      <c r="G460" s="10"/>
      <c r="H460" s="10" t="str">
        <f>IF(A460="","",G460+Q460)</f>
        <v/>
      </c>
      <c r="M460" t="str">
        <f>IF(A460="","",IF(Q460="", "", ROUND(20 * EXP(LN(50/20) * ((HOUR(Q460)*60 + MINUTE(Q460) - 30) / 30)), 2) * R460 * (1 - S460)))</f>
        <v/>
      </c>
      <c r="P460" t="str" cm="1">
        <f t="array" aca="1" ref="P460" ca="1">IF(AND(A460&lt;&gt;"", C460&lt;&gt;""),
   SUMPRODUCT(--(TEXT(DATE(YEAR(TODAY()), MONTH(TODAY()), ROW(INDIRECT("1:" &amp; DAY(EOMONTH(TODAY(), 0))))), "dddd")=C460)),
   "")</f>
        <v/>
      </c>
      <c r="Q460" s="12"/>
      <c r="R460" s="11" t="str">
        <f t="shared" si="31"/>
        <v/>
      </c>
      <c r="U460" s="13"/>
    </row>
    <row r="461" spans="2:21" ht="18" x14ac:dyDescent="0.35">
      <c r="B461" t="str">
        <f>IF(A461="", "", IF(Q461="", "", IF(Q461=TIME(0,30,0), "Half Hour", IF(Q461=TIME(1,0,0), "Hour", TEXT(Q461*1440, "0") &amp; " Minutes"))))</f>
        <v/>
      </c>
      <c r="D461" s="9" t="str">
        <f t="shared" si="32"/>
        <v/>
      </c>
      <c r="E461" t="str">
        <f t="shared" si="33"/>
        <v/>
      </c>
      <c r="F461" s="9" t="str">
        <f t="shared" si="34"/>
        <v/>
      </c>
      <c r="G461" s="10"/>
      <c r="H461" s="10" t="str">
        <f>IF(A461="","",G461+Q461)</f>
        <v/>
      </c>
      <c r="M461" t="str">
        <f>IF(A461="","",IF(Q461="", "", ROUND(20 * EXP(LN(50/20) * ((HOUR(Q461)*60 + MINUTE(Q461) - 30) / 30)), 2) * R461 * (1 - S461)))</f>
        <v/>
      </c>
      <c r="P461" t="str" cm="1">
        <f t="array" aca="1" ref="P461" ca="1">IF(AND(A461&lt;&gt;"", C461&lt;&gt;""),
   SUMPRODUCT(--(TEXT(DATE(YEAR(TODAY()), MONTH(TODAY()), ROW(INDIRECT("1:" &amp; DAY(EOMONTH(TODAY(), 0))))), "dddd")=C461)),
   "")</f>
        <v/>
      </c>
      <c r="Q461" s="12"/>
      <c r="R461" s="11" t="str">
        <f t="shared" si="31"/>
        <v/>
      </c>
      <c r="U461" s="13"/>
    </row>
    <row r="462" spans="2:21" ht="18" x14ac:dyDescent="0.35">
      <c r="B462" t="str">
        <f>IF(A462="", "", IF(Q462="", "", IF(Q462=TIME(0,30,0), "Half Hour", IF(Q462=TIME(1,0,0), "Hour", TEXT(Q462*1440, "0") &amp; " Minutes"))))</f>
        <v/>
      </c>
      <c r="D462" s="9" t="str">
        <f t="shared" si="32"/>
        <v/>
      </c>
      <c r="E462" t="str">
        <f t="shared" si="33"/>
        <v/>
      </c>
      <c r="F462" s="9" t="str">
        <f t="shared" si="34"/>
        <v/>
      </c>
      <c r="G462" s="10"/>
      <c r="H462" s="10" t="str">
        <f>IF(A462="","",G462+Q462)</f>
        <v/>
      </c>
      <c r="M462" t="str">
        <f>IF(A462="","",IF(Q462="", "", ROUND(20 * EXP(LN(50/20) * ((HOUR(Q462)*60 + MINUTE(Q462) - 30) / 30)), 2) * R462 * (1 - S462)))</f>
        <v/>
      </c>
      <c r="P462" t="str" cm="1">
        <f t="array" aca="1" ref="P462" ca="1">IF(AND(A462&lt;&gt;"", C462&lt;&gt;""),
   SUMPRODUCT(--(TEXT(DATE(YEAR(TODAY()), MONTH(TODAY()), ROW(INDIRECT("1:" &amp; DAY(EOMONTH(TODAY(), 0))))), "dddd")=C462)),
   "")</f>
        <v/>
      </c>
      <c r="Q462" s="12"/>
      <c r="R462" s="11" t="str">
        <f t="shared" si="31"/>
        <v/>
      </c>
      <c r="U462" s="13"/>
    </row>
    <row r="463" spans="2:21" ht="18" x14ac:dyDescent="0.35">
      <c r="B463" t="str">
        <f>IF(A463="", "", IF(Q463="", "", IF(Q463=TIME(0,30,0), "Half Hour", IF(Q463=TIME(1,0,0), "Hour", TEXT(Q463*1440, "0") &amp; " Minutes"))))</f>
        <v/>
      </c>
      <c r="D463" s="9" t="str">
        <f t="shared" si="32"/>
        <v/>
      </c>
      <c r="E463" t="str">
        <f t="shared" si="33"/>
        <v/>
      </c>
      <c r="F463" s="9" t="str">
        <f t="shared" si="34"/>
        <v/>
      </c>
      <c r="G463" s="10"/>
      <c r="H463" s="10" t="str">
        <f>IF(A463="","",G463+Q463)</f>
        <v/>
      </c>
      <c r="M463" t="str">
        <f>IF(A463="","",IF(Q463="", "", ROUND(20 * EXP(LN(50/20) * ((HOUR(Q463)*60 + MINUTE(Q463) - 30) / 30)), 2) * R463 * (1 - S463)))</f>
        <v/>
      </c>
      <c r="P463" t="str" cm="1">
        <f t="array" aca="1" ref="P463" ca="1">IF(AND(A463&lt;&gt;"", C463&lt;&gt;""),
   SUMPRODUCT(--(TEXT(DATE(YEAR(TODAY()), MONTH(TODAY()), ROW(INDIRECT("1:" &amp; DAY(EOMONTH(TODAY(), 0))))), "dddd")=C463)),
   "")</f>
        <v/>
      </c>
      <c r="Q463" s="12"/>
      <c r="R463" s="11" t="str">
        <f t="shared" si="31"/>
        <v/>
      </c>
      <c r="U463" s="13"/>
    </row>
    <row r="464" spans="2:21" ht="18" x14ac:dyDescent="0.35">
      <c r="B464" t="str">
        <f>IF(A464="", "", IF(Q464="", "", IF(Q464=TIME(0,30,0), "Half Hour", IF(Q464=TIME(1,0,0), "Hour", TEXT(Q464*1440, "0") &amp; " Minutes"))))</f>
        <v/>
      </c>
      <c r="D464" s="9" t="str">
        <f t="shared" si="32"/>
        <v/>
      </c>
      <c r="E464" t="str">
        <f t="shared" si="33"/>
        <v/>
      </c>
      <c r="F464" s="9" t="str">
        <f t="shared" si="34"/>
        <v/>
      </c>
      <c r="G464" s="10"/>
      <c r="H464" s="10" t="str">
        <f>IF(A464="","",G464+Q464)</f>
        <v/>
      </c>
      <c r="M464" t="str">
        <f>IF(A464="","",IF(Q464="", "", ROUND(20 * EXP(LN(50/20) * ((HOUR(Q464)*60 + MINUTE(Q464) - 30) / 30)), 2) * R464 * (1 - S464)))</f>
        <v/>
      </c>
      <c r="P464" t="str" cm="1">
        <f t="array" aca="1" ref="P464" ca="1">IF(AND(A464&lt;&gt;"", C464&lt;&gt;""),
   SUMPRODUCT(--(TEXT(DATE(YEAR(TODAY()), MONTH(TODAY()), ROW(INDIRECT("1:" &amp; DAY(EOMONTH(TODAY(), 0))))), "dddd")=C464)),
   "")</f>
        <v/>
      </c>
      <c r="Q464" s="12"/>
      <c r="R464" s="11" t="str">
        <f t="shared" si="31"/>
        <v/>
      </c>
      <c r="U464" s="13"/>
    </row>
    <row r="465" spans="2:21" ht="18" x14ac:dyDescent="0.35">
      <c r="B465" t="str">
        <f>IF(A465="", "", IF(Q465="", "", IF(Q465=TIME(0,30,0), "Half Hour", IF(Q465=TIME(1,0,0), "Hour", TEXT(Q465*1440, "0") &amp; " Minutes"))))</f>
        <v/>
      </c>
      <c r="D465" s="9" t="str">
        <f t="shared" si="32"/>
        <v/>
      </c>
      <c r="E465" t="str">
        <f t="shared" si="33"/>
        <v/>
      </c>
      <c r="F465" s="9" t="str">
        <f t="shared" si="34"/>
        <v/>
      </c>
      <c r="G465" s="10"/>
      <c r="H465" s="10" t="str">
        <f>IF(A465="","",G465+Q465)</f>
        <v/>
      </c>
      <c r="M465" t="str">
        <f>IF(A465="","",IF(Q465="", "", ROUND(20 * EXP(LN(50/20) * ((HOUR(Q465)*60 + MINUTE(Q465) - 30) / 30)), 2) * R465 * (1 - S465)))</f>
        <v/>
      </c>
      <c r="P465" t="str" cm="1">
        <f t="array" aca="1" ref="P465" ca="1">IF(AND(A465&lt;&gt;"", C465&lt;&gt;""),
   SUMPRODUCT(--(TEXT(DATE(YEAR(TODAY()), MONTH(TODAY()), ROW(INDIRECT("1:" &amp; DAY(EOMONTH(TODAY(), 0))))), "dddd")=C465)),
   "")</f>
        <v/>
      </c>
      <c r="Q465" s="12"/>
      <c r="R465" s="11" t="str">
        <f t="shared" si="31"/>
        <v/>
      </c>
      <c r="U465" s="13"/>
    </row>
    <row r="466" spans="2:21" ht="18" x14ac:dyDescent="0.35">
      <c r="B466" t="str">
        <f>IF(A466="", "", IF(Q466="", "", IF(Q466=TIME(0,30,0), "Half Hour", IF(Q466=TIME(1,0,0), "Hour", TEXT(Q466*1440, "0") &amp; " Minutes"))))</f>
        <v/>
      </c>
      <c r="D466" s="9" t="str">
        <f t="shared" si="32"/>
        <v/>
      </c>
      <c r="E466" t="str">
        <f t="shared" si="33"/>
        <v/>
      </c>
      <c r="F466" s="9" t="str">
        <f t="shared" si="34"/>
        <v/>
      </c>
      <c r="G466" s="10"/>
      <c r="H466" s="10" t="str">
        <f>IF(A466="","",G466+Q466)</f>
        <v/>
      </c>
      <c r="M466" t="str">
        <f>IF(A466="","",IF(Q466="", "", ROUND(20 * EXP(LN(50/20) * ((HOUR(Q466)*60 + MINUTE(Q466) - 30) / 30)), 2) * R466 * (1 - S466)))</f>
        <v/>
      </c>
      <c r="P466" t="str" cm="1">
        <f t="array" aca="1" ref="P466" ca="1">IF(AND(A466&lt;&gt;"", C466&lt;&gt;""),
   SUMPRODUCT(--(TEXT(DATE(YEAR(TODAY()), MONTH(TODAY()), ROW(INDIRECT("1:" &amp; DAY(EOMONTH(TODAY(), 0))))), "dddd")=C466)),
   "")</f>
        <v/>
      </c>
      <c r="Q466" s="12"/>
      <c r="R466" s="11" t="str">
        <f t="shared" si="31"/>
        <v/>
      </c>
      <c r="U466" s="13"/>
    </row>
    <row r="467" spans="2:21" ht="18" x14ac:dyDescent="0.35">
      <c r="B467" t="str">
        <f>IF(A467="", "", IF(Q467="", "", IF(Q467=TIME(0,30,0), "Half Hour", IF(Q467=TIME(1,0,0), "Hour", TEXT(Q467*1440, "0") &amp; " Minutes"))))</f>
        <v/>
      </c>
      <c r="D467" s="9" t="str">
        <f t="shared" si="32"/>
        <v/>
      </c>
      <c r="E467" t="str">
        <f t="shared" si="33"/>
        <v/>
      </c>
      <c r="F467" s="9" t="str">
        <f t="shared" si="34"/>
        <v/>
      </c>
      <c r="G467" s="10"/>
      <c r="H467" s="10" t="str">
        <f>IF(A467="","",G467+Q467)</f>
        <v/>
      </c>
      <c r="M467" t="str">
        <f>IF(A467="","",IF(Q467="", "", ROUND(20 * EXP(LN(50/20) * ((HOUR(Q467)*60 + MINUTE(Q467) - 30) / 30)), 2) * R467 * (1 - S467)))</f>
        <v/>
      </c>
      <c r="P467" t="str" cm="1">
        <f t="array" aca="1" ref="P467" ca="1">IF(AND(A467&lt;&gt;"", C467&lt;&gt;""),
   SUMPRODUCT(--(TEXT(DATE(YEAR(TODAY()), MONTH(TODAY()), ROW(INDIRECT("1:" &amp; DAY(EOMONTH(TODAY(), 0))))), "dddd")=C467)),
   "")</f>
        <v/>
      </c>
      <c r="Q467" s="12"/>
      <c r="R467" s="11" t="str">
        <f t="shared" si="31"/>
        <v/>
      </c>
      <c r="U467" s="13"/>
    </row>
    <row r="468" spans="2:21" ht="18" x14ac:dyDescent="0.35">
      <c r="B468" t="str">
        <f>IF(A468="", "", IF(Q468="", "", IF(Q468=TIME(0,30,0), "Half Hour", IF(Q468=TIME(1,0,0), "Hour", TEXT(Q468*1440, "0") &amp; " Minutes"))))</f>
        <v/>
      </c>
      <c r="D468" s="9" t="str">
        <f t="shared" si="32"/>
        <v/>
      </c>
      <c r="E468" t="str">
        <f t="shared" si="33"/>
        <v/>
      </c>
      <c r="F468" s="9" t="str">
        <f t="shared" si="34"/>
        <v/>
      </c>
      <c r="G468" s="10"/>
      <c r="H468" s="10" t="str">
        <f>IF(A468="","",G468+Q468)</f>
        <v/>
      </c>
      <c r="M468" t="str">
        <f>IF(A468="","",IF(Q468="", "", ROUND(20 * EXP(LN(50/20) * ((HOUR(Q468)*60 + MINUTE(Q468) - 30) / 30)), 2) * R468 * (1 - S468)))</f>
        <v/>
      </c>
      <c r="P468" t="str" cm="1">
        <f t="array" aca="1" ref="P468" ca="1">IF(AND(A468&lt;&gt;"", C468&lt;&gt;""),
   SUMPRODUCT(--(TEXT(DATE(YEAR(TODAY()), MONTH(TODAY()), ROW(INDIRECT("1:" &amp; DAY(EOMONTH(TODAY(), 0))))), "dddd")=C468)),
   "")</f>
        <v/>
      </c>
      <c r="Q468" s="12"/>
      <c r="R468" s="11" t="str">
        <f t="shared" si="31"/>
        <v/>
      </c>
      <c r="U468" s="13"/>
    </row>
    <row r="469" spans="2:21" ht="18" x14ac:dyDescent="0.35">
      <c r="B469" t="str">
        <f>IF(A469="", "", IF(Q469="", "", IF(Q469=TIME(0,30,0), "Half Hour", IF(Q469=TIME(1,0,0), "Hour", TEXT(Q469*1440, "0") &amp; " Minutes"))))</f>
        <v/>
      </c>
      <c r="D469" s="9" t="str">
        <f t="shared" si="32"/>
        <v/>
      </c>
      <c r="E469" t="str">
        <f t="shared" si="33"/>
        <v/>
      </c>
      <c r="F469" s="9" t="str">
        <f t="shared" si="34"/>
        <v/>
      </c>
      <c r="G469" s="10"/>
      <c r="H469" s="10" t="str">
        <f>IF(A469="","",G469+Q469)</f>
        <v/>
      </c>
      <c r="M469" t="str">
        <f>IF(A469="","",IF(Q469="", "", ROUND(20 * EXP(LN(50/20) * ((HOUR(Q469)*60 + MINUTE(Q469) - 30) / 30)), 2) * R469 * (1 - S469)))</f>
        <v/>
      </c>
      <c r="P469" t="str" cm="1">
        <f t="array" aca="1" ref="P469" ca="1">IF(AND(A469&lt;&gt;"", C469&lt;&gt;""),
   SUMPRODUCT(--(TEXT(DATE(YEAR(TODAY()), MONTH(TODAY()), ROW(INDIRECT("1:" &amp; DAY(EOMONTH(TODAY(), 0))))), "dddd")=C469)),
   "")</f>
        <v/>
      </c>
      <c r="Q469" s="12"/>
      <c r="R469" s="11" t="str">
        <f t="shared" si="31"/>
        <v/>
      </c>
      <c r="U469" s="13"/>
    </row>
    <row r="470" spans="2:21" ht="18" x14ac:dyDescent="0.35">
      <c r="B470" t="str">
        <f>IF(A470="", "", IF(Q470="", "", IF(Q470=TIME(0,30,0), "Half Hour", IF(Q470=TIME(1,0,0), "Hour", TEXT(Q470*1440, "0") &amp; " Minutes"))))</f>
        <v/>
      </c>
      <c r="D470" s="9" t="str">
        <f t="shared" si="32"/>
        <v/>
      </c>
      <c r="E470" t="str">
        <f t="shared" si="33"/>
        <v/>
      </c>
      <c r="F470" s="9" t="str">
        <f t="shared" si="34"/>
        <v/>
      </c>
      <c r="G470" s="10"/>
      <c r="H470" s="10" t="str">
        <f>IF(A470="","",G470+Q470)</f>
        <v/>
      </c>
      <c r="M470" t="str">
        <f>IF(A470="","",IF(Q470="", "", ROUND(20 * EXP(LN(50/20) * ((HOUR(Q470)*60 + MINUTE(Q470) - 30) / 30)), 2) * R470 * (1 - S470)))</f>
        <v/>
      </c>
      <c r="P470" t="str" cm="1">
        <f t="array" aca="1" ref="P470" ca="1">IF(AND(A470&lt;&gt;"", C470&lt;&gt;""),
   SUMPRODUCT(--(TEXT(DATE(YEAR(TODAY()), MONTH(TODAY()), ROW(INDIRECT("1:" &amp; DAY(EOMONTH(TODAY(), 0))))), "dddd")=C470)),
   "")</f>
        <v/>
      </c>
      <c r="Q470" s="12"/>
      <c r="R470" s="11" t="str">
        <f t="shared" si="31"/>
        <v/>
      </c>
      <c r="U470" s="13"/>
    </row>
    <row r="471" spans="2:21" ht="18" x14ac:dyDescent="0.35">
      <c r="B471" t="str">
        <f>IF(A471="", "", IF(Q471="", "", IF(Q471=TIME(0,30,0), "Half Hour", IF(Q471=TIME(1,0,0), "Hour", TEXT(Q471*1440, "0") &amp; " Minutes"))))</f>
        <v/>
      </c>
      <c r="D471" s="9" t="str">
        <f t="shared" si="32"/>
        <v/>
      </c>
      <c r="E471" t="str">
        <f t="shared" si="33"/>
        <v/>
      </c>
      <c r="F471" s="9" t="str">
        <f t="shared" si="34"/>
        <v/>
      </c>
      <c r="G471" s="10"/>
      <c r="H471" s="10" t="str">
        <f>IF(A471="","",G471+Q471)</f>
        <v/>
      </c>
      <c r="M471" t="str">
        <f>IF(A471="","",IF(Q471="", "", ROUND(20 * EXP(LN(50/20) * ((HOUR(Q471)*60 + MINUTE(Q471) - 30) / 30)), 2) * R471 * (1 - S471)))</f>
        <v/>
      </c>
      <c r="P471" t="str" cm="1">
        <f t="array" aca="1" ref="P471" ca="1">IF(AND(A471&lt;&gt;"", C471&lt;&gt;""),
   SUMPRODUCT(--(TEXT(DATE(YEAR(TODAY()), MONTH(TODAY()), ROW(INDIRECT("1:" &amp; DAY(EOMONTH(TODAY(), 0))))), "dddd")=C471)),
   "")</f>
        <v/>
      </c>
      <c r="Q471" s="12"/>
      <c r="R471" s="11" t="str">
        <f t="shared" si="31"/>
        <v/>
      </c>
      <c r="U471" s="13"/>
    </row>
    <row r="472" spans="2:21" ht="18" x14ac:dyDescent="0.35">
      <c r="B472" t="str">
        <f>IF(A472="", "", IF(Q472="", "", IF(Q472=TIME(0,30,0), "Half Hour", IF(Q472=TIME(1,0,0), "Hour", TEXT(Q472*1440, "0") &amp; " Minutes"))))</f>
        <v/>
      </c>
      <c r="D472" s="9" t="str">
        <f t="shared" si="32"/>
        <v/>
      </c>
      <c r="E472" t="str">
        <f t="shared" si="33"/>
        <v/>
      </c>
      <c r="F472" s="9" t="str">
        <f t="shared" si="34"/>
        <v/>
      </c>
      <c r="G472" s="10"/>
      <c r="H472" s="10" t="str">
        <f>IF(A472="","",G472+Q472)</f>
        <v/>
      </c>
      <c r="M472" t="str">
        <f>IF(A472="","",IF(Q472="", "", ROUND(20 * EXP(LN(50/20) * ((HOUR(Q472)*60 + MINUTE(Q472) - 30) / 30)), 2) * R472 * (1 - S472)))</f>
        <v/>
      </c>
      <c r="P472" t="str" cm="1">
        <f t="array" aca="1" ref="P472" ca="1">IF(AND(A472&lt;&gt;"", C472&lt;&gt;""),
   SUMPRODUCT(--(TEXT(DATE(YEAR(TODAY()), MONTH(TODAY()), ROW(INDIRECT("1:" &amp; DAY(EOMONTH(TODAY(), 0))))), "dddd")=C472)),
   "")</f>
        <v/>
      </c>
      <c r="Q472" s="12"/>
      <c r="R472" s="11" t="str">
        <f t="shared" si="31"/>
        <v/>
      </c>
      <c r="U472" s="13"/>
    </row>
    <row r="473" spans="2:21" ht="18" x14ac:dyDescent="0.35">
      <c r="B473" t="str">
        <f>IF(A473="", "", IF(Q473="", "", IF(Q473=TIME(0,30,0), "Half Hour", IF(Q473=TIME(1,0,0), "Hour", TEXT(Q473*1440, "0") &amp; " Minutes"))))</f>
        <v/>
      </c>
      <c r="D473" s="9" t="str">
        <f t="shared" si="32"/>
        <v/>
      </c>
      <c r="E473" t="str">
        <f t="shared" si="33"/>
        <v/>
      </c>
      <c r="F473" s="9" t="str">
        <f t="shared" si="34"/>
        <v/>
      </c>
      <c r="G473" s="10"/>
      <c r="H473" s="10" t="str">
        <f>IF(A473="","",G473+Q473)</f>
        <v/>
      </c>
      <c r="M473" t="str">
        <f>IF(A473="","",IF(Q473="", "", ROUND(20 * EXP(LN(50/20) * ((HOUR(Q473)*60 + MINUTE(Q473) - 30) / 30)), 2) * R473 * (1 - S473)))</f>
        <v/>
      </c>
      <c r="P473" t="str" cm="1">
        <f t="array" aca="1" ref="P473" ca="1">IF(AND(A473&lt;&gt;"", C473&lt;&gt;""),
   SUMPRODUCT(--(TEXT(DATE(YEAR(TODAY()), MONTH(TODAY()), ROW(INDIRECT("1:" &amp; DAY(EOMONTH(TODAY(), 0))))), "dddd")=C473)),
   "")</f>
        <v/>
      </c>
      <c r="Q473" s="12"/>
      <c r="R473" s="11" t="str">
        <f t="shared" si="31"/>
        <v/>
      </c>
      <c r="U473" s="13"/>
    </row>
    <row r="474" spans="2:21" ht="18" x14ac:dyDescent="0.35">
      <c r="B474" t="str">
        <f>IF(A474="", "", IF(Q474="", "", IF(Q474=TIME(0,30,0), "Half Hour", IF(Q474=TIME(1,0,0), "Hour", TEXT(Q474*1440, "0") &amp; " Minutes"))))</f>
        <v/>
      </c>
      <c r="D474" s="9" t="str">
        <f t="shared" si="32"/>
        <v/>
      </c>
      <c r="E474" t="str">
        <f t="shared" si="33"/>
        <v/>
      </c>
      <c r="F474" s="9" t="str">
        <f t="shared" si="34"/>
        <v/>
      </c>
      <c r="G474" s="10"/>
      <c r="H474" s="10" t="str">
        <f>IF(A474="","",G474+Q474)</f>
        <v/>
      </c>
      <c r="M474" t="str">
        <f>IF(A474="","",IF(Q474="", "", ROUND(20 * EXP(LN(50/20) * ((HOUR(Q474)*60 + MINUTE(Q474) - 30) / 30)), 2) * R474 * (1 - S474)))</f>
        <v/>
      </c>
      <c r="P474" t="str" cm="1">
        <f t="array" aca="1" ref="P474" ca="1">IF(AND(A474&lt;&gt;"", C474&lt;&gt;""),
   SUMPRODUCT(--(TEXT(DATE(YEAR(TODAY()), MONTH(TODAY()), ROW(INDIRECT("1:" &amp; DAY(EOMONTH(TODAY(), 0))))), "dddd")=C474)),
   "")</f>
        <v/>
      </c>
      <c r="Q474" s="12"/>
      <c r="R474" s="11" t="str">
        <f t="shared" si="31"/>
        <v/>
      </c>
      <c r="U474" s="13"/>
    </row>
    <row r="475" spans="2:21" ht="18" x14ac:dyDescent="0.35">
      <c r="B475" t="str">
        <f>IF(A475="", "", IF(Q475="", "", IF(Q475=TIME(0,30,0), "Half Hour", IF(Q475=TIME(1,0,0), "Hour", TEXT(Q475*1440, "0") &amp; " Minutes"))))</f>
        <v/>
      </c>
      <c r="D475" s="9" t="str">
        <f t="shared" si="32"/>
        <v/>
      </c>
      <c r="E475" t="str">
        <f t="shared" si="33"/>
        <v/>
      </c>
      <c r="F475" s="9" t="str">
        <f t="shared" si="34"/>
        <v/>
      </c>
      <c r="G475" s="10"/>
      <c r="H475" s="10" t="str">
        <f>IF(A475="","",G475+Q475)</f>
        <v/>
      </c>
      <c r="M475" t="str">
        <f>IF(A475="","",IF(Q475="", "", ROUND(20 * EXP(LN(50/20) * ((HOUR(Q475)*60 + MINUTE(Q475) - 30) / 30)), 2) * R475 * (1 - S475)))</f>
        <v/>
      </c>
      <c r="P475" t="str" cm="1">
        <f t="array" aca="1" ref="P475" ca="1">IF(AND(A475&lt;&gt;"", C475&lt;&gt;""),
   SUMPRODUCT(--(TEXT(DATE(YEAR(TODAY()), MONTH(TODAY()), ROW(INDIRECT("1:" &amp; DAY(EOMONTH(TODAY(), 0))))), "dddd")=C475)),
   "")</f>
        <v/>
      </c>
      <c r="Q475" s="12"/>
      <c r="R475" s="11" t="str">
        <f t="shared" si="31"/>
        <v/>
      </c>
      <c r="U475" s="13"/>
    </row>
    <row r="476" spans="2:21" ht="18" x14ac:dyDescent="0.35">
      <c r="B476" t="str">
        <f>IF(A476="", "", IF(Q476="", "", IF(Q476=TIME(0,30,0), "Half Hour", IF(Q476=TIME(1,0,0), "Hour", TEXT(Q476*1440, "0") &amp; " Minutes"))))</f>
        <v/>
      </c>
      <c r="D476" s="9" t="str">
        <f t="shared" si="32"/>
        <v/>
      </c>
      <c r="E476" t="str">
        <f t="shared" si="33"/>
        <v/>
      </c>
      <c r="F476" s="9" t="str">
        <f t="shared" si="34"/>
        <v/>
      </c>
      <c r="G476" s="10"/>
      <c r="H476" s="10" t="str">
        <f>IF(A476="","",G476+Q476)</f>
        <v/>
      </c>
      <c r="M476" t="str">
        <f>IF(A476="","",IF(Q476="", "", ROUND(20 * EXP(LN(50/20) * ((HOUR(Q476)*60 + MINUTE(Q476) - 30) / 30)), 2) * R476 * (1 - S476)))</f>
        <v/>
      </c>
      <c r="P476" t="str" cm="1">
        <f t="array" aca="1" ref="P476" ca="1">IF(AND(A476&lt;&gt;"", C476&lt;&gt;""),
   SUMPRODUCT(--(TEXT(DATE(YEAR(TODAY()), MONTH(TODAY()), ROW(INDIRECT("1:" &amp; DAY(EOMONTH(TODAY(), 0))))), "dddd")=C476)),
   "")</f>
        <v/>
      </c>
      <c r="Q476" s="12"/>
      <c r="R476" s="11" t="str">
        <f t="shared" si="31"/>
        <v/>
      </c>
      <c r="U476" s="13"/>
    </row>
    <row r="477" spans="2:21" ht="18" x14ac:dyDescent="0.35">
      <c r="B477" t="str">
        <f>IF(A477="", "", IF(Q477="", "", IF(Q477=TIME(0,30,0), "Half Hour", IF(Q477=TIME(1,0,0), "Hour", TEXT(Q477*1440, "0") &amp; " Minutes"))))</f>
        <v/>
      </c>
      <c r="D477" s="9" t="str">
        <f t="shared" si="32"/>
        <v/>
      </c>
      <c r="E477" t="str">
        <f t="shared" si="33"/>
        <v/>
      </c>
      <c r="F477" s="9" t="str">
        <f t="shared" si="34"/>
        <v/>
      </c>
      <c r="G477" s="10"/>
      <c r="H477" s="10" t="str">
        <f>IF(A477="","",G477+Q477)</f>
        <v/>
      </c>
      <c r="M477" t="str">
        <f>IF(A477="","",IF(Q477="", "", ROUND(20 * EXP(LN(50/20) * ((HOUR(Q477)*60 + MINUTE(Q477) - 30) / 30)), 2) * R477 * (1 - S477)))</f>
        <v/>
      </c>
      <c r="P477" t="str" cm="1">
        <f t="array" aca="1" ref="P477" ca="1">IF(AND(A477&lt;&gt;"", C477&lt;&gt;""),
   SUMPRODUCT(--(TEXT(DATE(YEAR(TODAY()), MONTH(TODAY()), ROW(INDIRECT("1:" &amp; DAY(EOMONTH(TODAY(), 0))))), "dddd")=C477)),
   "")</f>
        <v/>
      </c>
      <c r="Q477" s="12"/>
      <c r="R477" s="11" t="str">
        <f t="shared" si="31"/>
        <v/>
      </c>
      <c r="U477" s="13"/>
    </row>
    <row r="478" spans="2:21" ht="18" x14ac:dyDescent="0.35">
      <c r="B478" t="str">
        <f>IF(A478="", "", IF(Q478="", "", IF(Q478=TIME(0,30,0), "Half Hour", IF(Q478=TIME(1,0,0), "Hour", TEXT(Q478*1440, "0") &amp; " Minutes"))))</f>
        <v/>
      </c>
      <c r="D478" s="9" t="str">
        <f t="shared" si="32"/>
        <v/>
      </c>
      <c r="E478" t="str">
        <f t="shared" si="33"/>
        <v/>
      </c>
      <c r="F478" s="9" t="str">
        <f t="shared" si="34"/>
        <v/>
      </c>
      <c r="G478" s="10"/>
      <c r="H478" s="10" t="str">
        <f>IF(A478="","",G478+Q478)</f>
        <v/>
      </c>
      <c r="M478" t="str">
        <f>IF(A478="","",IF(Q478="", "", ROUND(20 * EXP(LN(50/20) * ((HOUR(Q478)*60 + MINUTE(Q478) - 30) / 30)), 2) * R478 * (1 - S478)))</f>
        <v/>
      </c>
      <c r="P478" t="str" cm="1">
        <f t="array" aca="1" ref="P478" ca="1">IF(AND(A478&lt;&gt;"", C478&lt;&gt;""),
   SUMPRODUCT(--(TEXT(DATE(YEAR(TODAY()), MONTH(TODAY()), ROW(INDIRECT("1:" &amp; DAY(EOMONTH(TODAY(), 0))))), "dddd")=C478)),
   "")</f>
        <v/>
      </c>
      <c r="Q478" s="12"/>
      <c r="R478" s="11" t="str">
        <f t="shared" si="31"/>
        <v/>
      </c>
      <c r="U478" s="13"/>
    </row>
    <row r="479" spans="2:21" ht="18" x14ac:dyDescent="0.35">
      <c r="B479" t="str">
        <f>IF(A479="", "", IF(Q479="", "", IF(Q479=TIME(0,30,0), "Half Hour", IF(Q479=TIME(1,0,0), "Hour", TEXT(Q479*1440, "0") &amp; " Minutes"))))</f>
        <v/>
      </c>
      <c r="D479" s="9" t="str">
        <f t="shared" si="32"/>
        <v/>
      </c>
      <c r="E479" t="str">
        <f t="shared" si="33"/>
        <v/>
      </c>
      <c r="F479" s="9" t="str">
        <f t="shared" si="34"/>
        <v/>
      </c>
      <c r="G479" s="10"/>
      <c r="H479" s="10" t="str">
        <f>IF(A479="","",G479+Q479)</f>
        <v/>
      </c>
      <c r="M479" t="str">
        <f>IF(A479="","",IF(Q479="", "", ROUND(20 * EXP(LN(50/20) * ((HOUR(Q479)*60 + MINUTE(Q479) - 30) / 30)), 2) * R479 * (1 - S479)))</f>
        <v/>
      </c>
      <c r="P479" t="str" cm="1">
        <f t="array" aca="1" ref="P479" ca="1">IF(AND(A479&lt;&gt;"", C479&lt;&gt;""),
   SUMPRODUCT(--(TEXT(DATE(YEAR(TODAY()), MONTH(TODAY()), ROW(INDIRECT("1:" &amp; DAY(EOMONTH(TODAY(), 0))))), "dddd")=C479)),
   "")</f>
        <v/>
      </c>
      <c r="Q479" s="12"/>
      <c r="R479" s="11" t="str">
        <f t="shared" si="31"/>
        <v/>
      </c>
      <c r="U479" s="13"/>
    </row>
    <row r="480" spans="2:21" ht="18" x14ac:dyDescent="0.35">
      <c r="B480" t="str">
        <f>IF(A480="", "", IF(Q480="", "", IF(Q480=TIME(0,30,0), "Half Hour", IF(Q480=TIME(1,0,0), "Hour", TEXT(Q480*1440, "0") &amp; " Minutes"))))</f>
        <v/>
      </c>
      <c r="D480" s="9" t="str">
        <f t="shared" si="32"/>
        <v/>
      </c>
      <c r="E480" t="str">
        <f t="shared" si="33"/>
        <v/>
      </c>
      <c r="F480" s="9" t="str">
        <f t="shared" si="34"/>
        <v/>
      </c>
      <c r="G480" s="10"/>
      <c r="H480" s="10" t="str">
        <f>IF(A480="","",G480+Q480)</f>
        <v/>
      </c>
      <c r="M480" t="str">
        <f>IF(A480="","",IF(Q480="", "", ROUND(20 * EXP(LN(50/20) * ((HOUR(Q480)*60 + MINUTE(Q480) - 30) / 30)), 2) * R480 * (1 - S480)))</f>
        <v/>
      </c>
      <c r="P480" t="str" cm="1">
        <f t="array" aca="1" ref="P480" ca="1">IF(AND(A480&lt;&gt;"", C480&lt;&gt;""),
   SUMPRODUCT(--(TEXT(DATE(YEAR(TODAY()), MONTH(TODAY()), ROW(INDIRECT("1:" &amp; DAY(EOMONTH(TODAY(), 0))))), "dddd")=C480)),
   "")</f>
        <v/>
      </c>
      <c r="Q480" s="12"/>
      <c r="R480" s="11" t="str">
        <f t="shared" si="31"/>
        <v/>
      </c>
      <c r="U480" s="13"/>
    </row>
    <row r="481" spans="2:21" ht="18" x14ac:dyDescent="0.35">
      <c r="B481" t="str">
        <f>IF(A481="", "", IF(Q481="", "", IF(Q481=TIME(0,30,0), "Half Hour", IF(Q481=TIME(1,0,0), "Hour", TEXT(Q481*1440, "0") &amp; " Minutes"))))</f>
        <v/>
      </c>
      <c r="D481" s="9" t="str">
        <f t="shared" si="32"/>
        <v/>
      </c>
      <c r="E481" t="str">
        <f t="shared" si="33"/>
        <v/>
      </c>
      <c r="F481" s="9" t="str">
        <f t="shared" si="34"/>
        <v/>
      </c>
      <c r="G481" s="10"/>
      <c r="H481" s="10" t="str">
        <f>IF(A481="","",G481+Q481)</f>
        <v/>
      </c>
      <c r="M481" t="str">
        <f>IF(A481="","",IF(Q481="", "", ROUND(20 * EXP(LN(50/20) * ((HOUR(Q481)*60 + MINUTE(Q481) - 30) / 30)), 2) * R481 * (1 - S481)))</f>
        <v/>
      </c>
      <c r="P481" t="str" cm="1">
        <f t="array" aca="1" ref="P481" ca="1">IF(AND(A481&lt;&gt;"", C481&lt;&gt;""),
   SUMPRODUCT(--(TEXT(DATE(YEAR(TODAY()), MONTH(TODAY()), ROW(INDIRECT("1:" &amp; DAY(EOMONTH(TODAY(), 0))))), "dddd")=C481)),
   "")</f>
        <v/>
      </c>
      <c r="Q481" s="12"/>
      <c r="R481" s="11" t="str">
        <f t="shared" si="31"/>
        <v/>
      </c>
      <c r="U481" s="13"/>
    </row>
    <row r="482" spans="2:21" ht="18" x14ac:dyDescent="0.35">
      <c r="B482" t="str">
        <f>IF(A482="", "", IF(Q482="", "", IF(Q482=TIME(0,30,0), "Half Hour", IF(Q482=TIME(1,0,0), "Hour", TEXT(Q482*1440, "0") &amp; " Minutes"))))</f>
        <v/>
      </c>
      <c r="D482" s="9" t="str">
        <f t="shared" si="32"/>
        <v/>
      </c>
      <c r="E482" t="str">
        <f t="shared" si="33"/>
        <v/>
      </c>
      <c r="F482" s="9" t="str">
        <f t="shared" si="34"/>
        <v/>
      </c>
      <c r="G482" s="10"/>
      <c r="H482" s="10" t="str">
        <f>IF(A482="","",G482+Q482)</f>
        <v/>
      </c>
      <c r="M482" t="str">
        <f>IF(A482="","",IF(Q482="", "", ROUND(20 * EXP(LN(50/20) * ((HOUR(Q482)*60 + MINUTE(Q482) - 30) / 30)), 2) * R482 * (1 - S482)))</f>
        <v/>
      </c>
      <c r="P482" t="str" cm="1">
        <f t="array" aca="1" ref="P482" ca="1">IF(AND(A482&lt;&gt;"", C482&lt;&gt;""),
   SUMPRODUCT(--(TEXT(DATE(YEAR(TODAY()), MONTH(TODAY()), ROW(INDIRECT("1:" &amp; DAY(EOMONTH(TODAY(), 0))))), "dddd")=C482)),
   "")</f>
        <v/>
      </c>
      <c r="Q482" s="12"/>
      <c r="R482" s="11" t="str">
        <f t="shared" si="31"/>
        <v/>
      </c>
      <c r="U482" s="13"/>
    </row>
    <row r="483" spans="2:21" ht="18" x14ac:dyDescent="0.35">
      <c r="B483" t="str">
        <f>IF(A483="", "", IF(Q483="", "", IF(Q483=TIME(0,30,0), "Half Hour", IF(Q483=TIME(1,0,0), "Hour", TEXT(Q483*1440, "0") &amp; " Minutes"))))</f>
        <v/>
      </c>
      <c r="D483" s="9" t="str">
        <f t="shared" si="32"/>
        <v/>
      </c>
      <c r="E483" t="str">
        <f t="shared" si="33"/>
        <v/>
      </c>
      <c r="F483" s="9" t="str">
        <f t="shared" si="34"/>
        <v/>
      </c>
      <c r="G483" s="10"/>
      <c r="H483" s="10" t="str">
        <f>IF(A483="","",G483+Q483)</f>
        <v/>
      </c>
      <c r="M483" t="str">
        <f>IF(A483="","",IF(Q483="", "", ROUND(20 * EXP(LN(50/20) * ((HOUR(Q483)*60 + MINUTE(Q483) - 30) / 30)), 2) * R483 * (1 - S483)))</f>
        <v/>
      </c>
      <c r="P483" t="str" cm="1">
        <f t="array" aca="1" ref="P483" ca="1">IF(AND(A483&lt;&gt;"", C483&lt;&gt;""),
   SUMPRODUCT(--(TEXT(DATE(YEAR(TODAY()), MONTH(TODAY()), ROW(INDIRECT("1:" &amp; DAY(EOMONTH(TODAY(), 0))))), "dddd")=C483)),
   "")</f>
        <v/>
      </c>
      <c r="Q483" s="12"/>
      <c r="R483" s="11" t="str">
        <f t="shared" si="31"/>
        <v/>
      </c>
      <c r="U483" s="13"/>
    </row>
    <row r="484" spans="2:21" ht="18" x14ac:dyDescent="0.35">
      <c r="B484" t="str">
        <f>IF(A484="", "", IF(Q484="", "", IF(Q484=TIME(0,30,0), "Half Hour", IF(Q484=TIME(1,0,0), "Hour", TEXT(Q484*1440, "0") &amp; " Minutes"))))</f>
        <v/>
      </c>
      <c r="D484" s="9" t="str">
        <f t="shared" si="32"/>
        <v/>
      </c>
      <c r="E484" t="str">
        <f t="shared" si="33"/>
        <v/>
      </c>
      <c r="F484" s="9" t="str">
        <f t="shared" si="34"/>
        <v/>
      </c>
      <c r="G484" s="10"/>
      <c r="H484" s="10" t="str">
        <f>IF(A484="","",G484+Q484)</f>
        <v/>
      </c>
      <c r="M484" t="str">
        <f>IF(A484="","",IF(Q484="", "", ROUND(20 * EXP(LN(50/20) * ((HOUR(Q484)*60 + MINUTE(Q484) - 30) / 30)), 2) * R484 * (1 - S484)))</f>
        <v/>
      </c>
      <c r="P484" t="str" cm="1">
        <f t="array" aca="1" ref="P484" ca="1">IF(AND(A484&lt;&gt;"", C484&lt;&gt;""),
   SUMPRODUCT(--(TEXT(DATE(YEAR(TODAY()), MONTH(TODAY()), ROW(INDIRECT("1:" &amp; DAY(EOMONTH(TODAY(), 0))))), "dddd")=C484)),
   "")</f>
        <v/>
      </c>
      <c r="Q484" s="12"/>
      <c r="R484" s="11" t="str">
        <f t="shared" si="31"/>
        <v/>
      </c>
      <c r="U484" s="13"/>
    </row>
    <row r="485" spans="2:21" ht="18" x14ac:dyDescent="0.35">
      <c r="B485" t="str">
        <f>IF(A485="", "", IF(Q485="", "", IF(Q485=TIME(0,30,0), "Half Hour", IF(Q485=TIME(1,0,0), "Hour", TEXT(Q485*1440, "0") &amp; " Minutes"))))</f>
        <v/>
      </c>
      <c r="D485" s="9" t="str">
        <f t="shared" si="32"/>
        <v/>
      </c>
      <c r="E485" t="str">
        <f t="shared" si="33"/>
        <v/>
      </c>
      <c r="F485" s="9" t="str">
        <f t="shared" si="34"/>
        <v/>
      </c>
      <c r="G485" s="10"/>
      <c r="H485" s="10" t="str">
        <f>IF(A485="","",G485+Q485)</f>
        <v/>
      </c>
      <c r="M485" t="str">
        <f>IF(A485="","",IF(Q485="", "", ROUND(20 * EXP(LN(50/20) * ((HOUR(Q485)*60 + MINUTE(Q485) - 30) / 30)), 2) * R485 * (1 - S485)))</f>
        <v/>
      </c>
      <c r="P485" t="str" cm="1">
        <f t="array" aca="1" ref="P485" ca="1">IF(AND(A485&lt;&gt;"", C485&lt;&gt;""),
   SUMPRODUCT(--(TEXT(DATE(YEAR(TODAY()), MONTH(TODAY()), ROW(INDIRECT("1:" &amp; DAY(EOMONTH(TODAY(), 0))))), "dddd")=C485)),
   "")</f>
        <v/>
      </c>
      <c r="Q485" s="12"/>
      <c r="R485" s="11" t="str">
        <f t="shared" si="31"/>
        <v/>
      </c>
      <c r="U485" s="13"/>
    </row>
    <row r="486" spans="2:21" ht="18" x14ac:dyDescent="0.35">
      <c r="B486" t="str">
        <f>IF(A486="", "", IF(Q486="", "", IF(Q486=TIME(0,30,0), "Half Hour", IF(Q486=TIME(1,0,0), "Hour", TEXT(Q486*1440, "0") &amp; " Minutes"))))</f>
        <v/>
      </c>
      <c r="D486" s="9" t="str">
        <f t="shared" si="32"/>
        <v/>
      </c>
      <c r="E486" t="str">
        <f t="shared" si="33"/>
        <v/>
      </c>
      <c r="F486" s="9" t="str">
        <f t="shared" si="34"/>
        <v/>
      </c>
      <c r="G486" s="10"/>
      <c r="H486" s="10" t="str">
        <f>IF(A486="","",G486+Q486)</f>
        <v/>
      </c>
      <c r="M486" t="str">
        <f>IF(A486="","",IF(Q486="", "", ROUND(20 * EXP(LN(50/20) * ((HOUR(Q486)*60 + MINUTE(Q486) - 30) / 30)), 2) * R486 * (1 - S486)))</f>
        <v/>
      </c>
      <c r="P486" t="str" cm="1">
        <f t="array" aca="1" ref="P486" ca="1">IF(AND(A486&lt;&gt;"", C486&lt;&gt;""),
   SUMPRODUCT(--(TEXT(DATE(YEAR(TODAY()), MONTH(TODAY()), ROW(INDIRECT("1:" &amp; DAY(EOMONTH(TODAY(), 0))))), "dddd")=C486)),
   "")</f>
        <v/>
      </c>
      <c r="Q486" s="12"/>
      <c r="R486" s="11" t="str">
        <f t="shared" si="31"/>
        <v/>
      </c>
      <c r="U486" s="13"/>
    </row>
    <row r="487" spans="2:21" ht="18" x14ac:dyDescent="0.35">
      <c r="B487" t="str">
        <f>IF(A487="", "", IF(Q487="", "", IF(Q487=TIME(0,30,0), "Half Hour", IF(Q487=TIME(1,0,0), "Hour", TEXT(Q487*1440, "0") &amp; " Minutes"))))</f>
        <v/>
      </c>
      <c r="D487" s="9" t="str">
        <f t="shared" si="32"/>
        <v/>
      </c>
      <c r="E487" t="str">
        <f t="shared" si="33"/>
        <v/>
      </c>
      <c r="F487" s="9" t="str">
        <f t="shared" si="34"/>
        <v/>
      </c>
      <c r="G487" s="10"/>
      <c r="H487" s="10" t="str">
        <f>IF(A487="","",G487+Q487)</f>
        <v/>
      </c>
      <c r="M487" t="str">
        <f>IF(A487="","",IF(Q487="", "", ROUND(20 * EXP(LN(50/20) * ((HOUR(Q487)*60 + MINUTE(Q487) - 30) / 30)), 2) * R487 * (1 - S487)))</f>
        <v/>
      </c>
      <c r="P487" t="str" cm="1">
        <f t="array" aca="1" ref="P487" ca="1">IF(AND(A487&lt;&gt;"", C487&lt;&gt;""),
   SUMPRODUCT(--(TEXT(DATE(YEAR(TODAY()), MONTH(TODAY()), ROW(INDIRECT("1:" &amp; DAY(EOMONTH(TODAY(), 0))))), "dddd")=C487)),
   "")</f>
        <v/>
      </c>
      <c r="Q487" s="12"/>
      <c r="R487" s="11" t="str">
        <f t="shared" si="31"/>
        <v/>
      </c>
      <c r="U487" s="13"/>
    </row>
    <row r="488" spans="2:21" ht="18" x14ac:dyDescent="0.35">
      <c r="B488" t="str">
        <f>IF(A488="", "", IF(Q488="", "", IF(Q488=TIME(0,30,0), "Half Hour", IF(Q488=TIME(1,0,0), "Hour", TEXT(Q488*1440, "0") &amp; " Minutes"))))</f>
        <v/>
      </c>
      <c r="D488" s="9" t="str">
        <f t="shared" si="32"/>
        <v/>
      </c>
      <c r="E488" t="str">
        <f t="shared" si="33"/>
        <v/>
      </c>
      <c r="F488" s="9" t="str">
        <f t="shared" si="34"/>
        <v/>
      </c>
      <c r="G488" s="10"/>
      <c r="H488" s="10" t="str">
        <f>IF(A488="","",G488+Q488)</f>
        <v/>
      </c>
      <c r="M488" t="str">
        <f>IF(A488="","",IF(Q488="", "", ROUND(20 * EXP(LN(50/20) * ((HOUR(Q488)*60 + MINUTE(Q488) - 30) / 30)), 2) * R488 * (1 - S488)))</f>
        <v/>
      </c>
      <c r="P488" t="str" cm="1">
        <f t="array" aca="1" ref="P488" ca="1">IF(AND(A488&lt;&gt;"", C488&lt;&gt;""),
   SUMPRODUCT(--(TEXT(DATE(YEAR(TODAY()), MONTH(TODAY()), ROW(INDIRECT("1:" &amp; DAY(EOMONTH(TODAY(), 0))))), "dddd")=C488)),
   "")</f>
        <v/>
      </c>
      <c r="Q488" s="12"/>
      <c r="R488" s="11" t="str">
        <f t="shared" si="31"/>
        <v/>
      </c>
      <c r="U488" s="13"/>
    </row>
    <row r="489" spans="2:21" ht="18" x14ac:dyDescent="0.35">
      <c r="B489" t="str">
        <f>IF(A489="", "", IF(Q489="", "", IF(Q489=TIME(0,30,0), "Half Hour", IF(Q489=TIME(1,0,0), "Hour", TEXT(Q489*1440, "0") &amp; " Minutes"))))</f>
        <v/>
      </c>
      <c r="D489" s="9" t="str">
        <f t="shared" si="32"/>
        <v/>
      </c>
      <c r="E489" t="str">
        <f t="shared" si="33"/>
        <v/>
      </c>
      <c r="F489" s="9" t="str">
        <f t="shared" si="34"/>
        <v/>
      </c>
      <c r="G489" s="10"/>
      <c r="H489" s="10" t="str">
        <f>IF(A489="","",G489+Q489)</f>
        <v/>
      </c>
      <c r="M489" t="str">
        <f>IF(A489="","",IF(Q489="", "", ROUND(20 * EXP(LN(50/20) * ((HOUR(Q489)*60 + MINUTE(Q489) - 30) / 30)), 2) * R489 * (1 - S489)))</f>
        <v/>
      </c>
      <c r="P489" t="str" cm="1">
        <f t="array" aca="1" ref="P489" ca="1">IF(AND(A489&lt;&gt;"", C489&lt;&gt;""),
   SUMPRODUCT(--(TEXT(DATE(YEAR(TODAY()), MONTH(TODAY()), ROW(INDIRECT("1:" &amp; DAY(EOMONTH(TODAY(), 0))))), "dddd")=C489)),
   "")</f>
        <v/>
      </c>
      <c r="Q489" s="12"/>
      <c r="R489" s="11" t="str">
        <f t="shared" si="31"/>
        <v/>
      </c>
      <c r="U489" s="13"/>
    </row>
    <row r="490" spans="2:21" ht="18" x14ac:dyDescent="0.35">
      <c r="B490" t="str">
        <f>IF(A490="", "", IF(Q490="", "", IF(Q490=TIME(0,30,0), "Half Hour", IF(Q490=TIME(1,0,0), "Hour", TEXT(Q490*1440, "0") &amp; " Minutes"))))</f>
        <v/>
      </c>
      <c r="D490" s="9" t="str">
        <f t="shared" si="32"/>
        <v/>
      </c>
      <c r="E490" t="str">
        <f t="shared" si="33"/>
        <v/>
      </c>
      <c r="F490" s="9" t="str">
        <f t="shared" si="34"/>
        <v/>
      </c>
      <c r="G490" s="10"/>
      <c r="H490" s="10" t="str">
        <f>IF(A490="","",G490+Q490)</f>
        <v/>
      </c>
      <c r="M490" t="str">
        <f>IF(A490="","",IF(Q490="", "", ROUND(20 * EXP(LN(50/20) * ((HOUR(Q490)*60 + MINUTE(Q490) - 30) / 30)), 2) * R490 * (1 - S490)))</f>
        <v/>
      </c>
      <c r="P490" t="str" cm="1">
        <f t="array" aca="1" ref="P490" ca="1">IF(AND(A490&lt;&gt;"", C490&lt;&gt;""),
   SUMPRODUCT(--(TEXT(DATE(YEAR(TODAY()), MONTH(TODAY()), ROW(INDIRECT("1:" &amp; DAY(EOMONTH(TODAY(), 0))))), "dddd")=C490)),
   "")</f>
        <v/>
      </c>
      <c r="Q490" s="12"/>
      <c r="R490" s="11" t="str">
        <f t="shared" si="31"/>
        <v/>
      </c>
      <c r="U490" s="13"/>
    </row>
    <row r="491" spans="2:21" ht="18" x14ac:dyDescent="0.35">
      <c r="B491" t="str">
        <f>IF(A491="", "", IF(Q491="", "", IF(Q491=TIME(0,30,0), "Half Hour", IF(Q491=TIME(1,0,0), "Hour", TEXT(Q491*1440, "0") &amp; " Minutes"))))</f>
        <v/>
      </c>
      <c r="D491" s="9" t="str">
        <f t="shared" si="32"/>
        <v/>
      </c>
      <c r="E491" t="str">
        <f t="shared" si="33"/>
        <v/>
      </c>
      <c r="F491" s="9" t="str">
        <f t="shared" si="34"/>
        <v/>
      </c>
      <c r="G491" s="10"/>
      <c r="H491" s="10" t="str">
        <f>IF(A491="","",G491+Q491)</f>
        <v/>
      </c>
      <c r="M491" t="str">
        <f>IF(A491="","",IF(Q491="", "", ROUND(20 * EXP(LN(50/20) * ((HOUR(Q491)*60 + MINUTE(Q491) - 30) / 30)), 2) * R491 * (1 - S491)))</f>
        <v/>
      </c>
      <c r="P491" t="str" cm="1">
        <f t="array" aca="1" ref="P491" ca="1">IF(AND(A491&lt;&gt;"", C491&lt;&gt;""),
   SUMPRODUCT(--(TEXT(DATE(YEAR(TODAY()), MONTH(TODAY()), ROW(INDIRECT("1:" &amp; DAY(EOMONTH(TODAY(), 0))))), "dddd")=C491)),
   "")</f>
        <v/>
      </c>
      <c r="Q491" s="12"/>
      <c r="R491" s="11" t="str">
        <f t="shared" si="31"/>
        <v/>
      </c>
      <c r="U491" s="13"/>
    </row>
    <row r="492" spans="2:21" ht="18" x14ac:dyDescent="0.35">
      <c r="B492" t="str">
        <f>IF(A492="", "", IF(Q492="", "", IF(Q492=TIME(0,30,0), "Half Hour", IF(Q492=TIME(1,0,0), "Hour", TEXT(Q492*1440, "0") &amp; " Minutes"))))</f>
        <v/>
      </c>
      <c r="D492" s="9" t="str">
        <f t="shared" si="32"/>
        <v/>
      </c>
      <c r="E492" t="str">
        <f t="shared" si="33"/>
        <v/>
      </c>
      <c r="F492" s="9" t="str">
        <f t="shared" si="34"/>
        <v/>
      </c>
      <c r="G492" s="10"/>
      <c r="H492" s="10" t="str">
        <f>IF(A492="","",G492+Q492)</f>
        <v/>
      </c>
      <c r="M492" t="str">
        <f>IF(A492="","",IF(Q492="", "", ROUND(20 * EXP(LN(50/20) * ((HOUR(Q492)*60 + MINUTE(Q492) - 30) / 30)), 2) * R492 * (1 - S492)))</f>
        <v/>
      </c>
      <c r="P492" t="str" cm="1">
        <f t="array" aca="1" ref="P492" ca="1">IF(AND(A492&lt;&gt;"", C492&lt;&gt;""),
   SUMPRODUCT(--(TEXT(DATE(YEAR(TODAY()), MONTH(TODAY()), ROW(INDIRECT("1:" &amp; DAY(EOMONTH(TODAY(), 0))))), "dddd")=C492)),
   "")</f>
        <v/>
      </c>
      <c r="Q492" s="12"/>
      <c r="R492" s="11" t="str">
        <f t="shared" si="31"/>
        <v/>
      </c>
      <c r="U492" s="13"/>
    </row>
    <row r="493" spans="2:21" ht="18" x14ac:dyDescent="0.35">
      <c r="B493" t="str">
        <f>IF(A493="", "", IF(Q493="", "", IF(Q493=TIME(0,30,0), "Half Hour", IF(Q493=TIME(1,0,0), "Hour", TEXT(Q493*1440, "0") &amp; " Minutes"))))</f>
        <v/>
      </c>
      <c r="D493" s="9" t="str">
        <f t="shared" si="32"/>
        <v/>
      </c>
      <c r="E493" t="str">
        <f t="shared" si="33"/>
        <v/>
      </c>
      <c r="F493" s="9" t="str">
        <f t="shared" si="34"/>
        <v/>
      </c>
      <c r="G493" s="10"/>
      <c r="H493" s="10" t="str">
        <f>IF(A493="","",G493+Q493)</f>
        <v/>
      </c>
      <c r="M493" t="str">
        <f>IF(A493="","",IF(Q493="", "", ROUND(20 * EXP(LN(50/20) * ((HOUR(Q493)*60 + MINUTE(Q493) - 30) / 30)), 2) * R493 * (1 - S493)))</f>
        <v/>
      </c>
      <c r="P493" t="str" cm="1">
        <f t="array" aca="1" ref="P493" ca="1">IF(AND(A493&lt;&gt;"", C493&lt;&gt;""),
   SUMPRODUCT(--(TEXT(DATE(YEAR(TODAY()), MONTH(TODAY()), ROW(INDIRECT("1:" &amp; DAY(EOMONTH(TODAY(), 0))))), "dddd")=C493)),
   "")</f>
        <v/>
      </c>
      <c r="Q493" s="12"/>
      <c r="R493" s="11" t="str">
        <f t="shared" si="31"/>
        <v/>
      </c>
      <c r="U493" s="13"/>
    </row>
    <row r="494" spans="2:21" ht="18" x14ac:dyDescent="0.35">
      <c r="B494" t="str">
        <f>IF(A494="", "", IF(Q494="", "", IF(Q494=TIME(0,30,0), "Half Hour", IF(Q494=TIME(1,0,0), "Hour", TEXT(Q494*1440, "0") &amp; " Minutes"))))</f>
        <v/>
      </c>
      <c r="D494" s="9" t="str">
        <f t="shared" si="32"/>
        <v/>
      </c>
      <c r="E494" t="str">
        <f t="shared" si="33"/>
        <v/>
      </c>
      <c r="F494" s="9" t="str">
        <f t="shared" si="34"/>
        <v/>
      </c>
      <c r="G494" s="10"/>
      <c r="H494" s="10" t="str">
        <f>IF(A494="","",G494+Q494)</f>
        <v/>
      </c>
      <c r="M494" t="str">
        <f>IF(A494="","",IF(Q494="", "", ROUND(20 * EXP(LN(50/20) * ((HOUR(Q494)*60 + MINUTE(Q494) - 30) / 30)), 2) * R494 * (1 - S494)))</f>
        <v/>
      </c>
      <c r="P494" t="str" cm="1">
        <f t="array" aca="1" ref="P494" ca="1">IF(AND(A494&lt;&gt;"", C494&lt;&gt;""),
   SUMPRODUCT(--(TEXT(DATE(YEAR(TODAY()), MONTH(TODAY()), ROW(INDIRECT("1:" &amp; DAY(EOMONTH(TODAY(), 0))))), "dddd")=C494)),
   "")</f>
        <v/>
      </c>
      <c r="Q494" s="12"/>
      <c r="R494" s="11" t="str">
        <f t="shared" si="31"/>
        <v/>
      </c>
      <c r="U494" s="13"/>
    </row>
    <row r="495" spans="2:21" ht="18" x14ac:dyDescent="0.35">
      <c r="B495" t="str">
        <f>IF(A495="", "", IF(Q495="", "", IF(Q495=TIME(0,30,0), "Half Hour", IF(Q495=TIME(1,0,0), "Hour", TEXT(Q495*1440, "0") &amp; " Minutes"))))</f>
        <v/>
      </c>
      <c r="D495" s="9" t="str">
        <f t="shared" si="32"/>
        <v/>
      </c>
      <c r="E495" t="str">
        <f t="shared" si="33"/>
        <v/>
      </c>
      <c r="F495" s="9" t="str">
        <f t="shared" si="34"/>
        <v/>
      </c>
      <c r="G495" s="10"/>
      <c r="H495" s="10" t="str">
        <f>IF(A495="","",G495+Q495)</f>
        <v/>
      </c>
      <c r="M495" t="str">
        <f>IF(A495="","",IF(Q495="", "", ROUND(20 * EXP(LN(50/20) * ((HOUR(Q495)*60 + MINUTE(Q495) - 30) / 30)), 2) * R495 * (1 - S495)))</f>
        <v/>
      </c>
      <c r="P495" t="str" cm="1">
        <f t="array" aca="1" ref="P495" ca="1">IF(AND(A495&lt;&gt;"", C495&lt;&gt;""),
   SUMPRODUCT(--(TEXT(DATE(YEAR(TODAY()), MONTH(TODAY()), ROW(INDIRECT("1:" &amp; DAY(EOMONTH(TODAY(), 0))))), "dddd")=C495)),
   "")</f>
        <v/>
      </c>
      <c r="Q495" s="12"/>
      <c r="R495" s="11" t="str">
        <f t="shared" si="31"/>
        <v/>
      </c>
      <c r="U495" s="13"/>
    </row>
    <row r="496" spans="2:21" ht="18" x14ac:dyDescent="0.35">
      <c r="B496" t="str">
        <f>IF(A496="", "", IF(Q496="", "", IF(Q496=TIME(0,30,0), "Half Hour", IF(Q496=TIME(1,0,0), "Hour", TEXT(Q496*1440, "0") &amp; " Minutes"))))</f>
        <v/>
      </c>
      <c r="D496" s="9" t="str">
        <f t="shared" si="32"/>
        <v/>
      </c>
      <c r="E496" t="str">
        <f t="shared" si="33"/>
        <v/>
      </c>
      <c r="F496" s="9" t="str">
        <f t="shared" si="34"/>
        <v/>
      </c>
      <c r="G496" s="10"/>
      <c r="H496" s="10" t="str">
        <f>IF(A496="","",G496+Q496)</f>
        <v/>
      </c>
      <c r="M496" t="str">
        <f>IF(A496="","",IF(Q496="", "", ROUND(20 * EXP(LN(50/20) * ((HOUR(Q496)*60 + MINUTE(Q496) - 30) / 30)), 2) * R496 * (1 - S496)))</f>
        <v/>
      </c>
      <c r="P496" t="str" cm="1">
        <f t="array" aca="1" ref="P496" ca="1">IF(AND(A496&lt;&gt;"", C496&lt;&gt;""),
   SUMPRODUCT(--(TEXT(DATE(YEAR(TODAY()), MONTH(TODAY()), ROW(INDIRECT("1:" &amp; DAY(EOMONTH(TODAY(), 0))))), "dddd")=C496)),
   "")</f>
        <v/>
      </c>
      <c r="Q496" s="12"/>
      <c r="R496" s="11" t="str">
        <f t="shared" si="31"/>
        <v/>
      </c>
      <c r="U496" s="13"/>
    </row>
    <row r="497" spans="2:21" ht="18" x14ac:dyDescent="0.35">
      <c r="B497" t="str">
        <f>IF(A497="", "", IF(Q497="", "", IF(Q497=TIME(0,30,0), "Half Hour", IF(Q497=TIME(1,0,0), "Hour", TEXT(Q497*1440, "0") &amp; " Minutes"))))</f>
        <v/>
      </c>
      <c r="D497" s="9" t="str">
        <f t="shared" si="32"/>
        <v/>
      </c>
      <c r="E497" t="str">
        <f t="shared" si="33"/>
        <v/>
      </c>
      <c r="F497" s="9" t="str">
        <f t="shared" si="34"/>
        <v/>
      </c>
      <c r="G497" s="10"/>
      <c r="H497" s="10" t="str">
        <f>IF(A497="","",G497+Q497)</f>
        <v/>
      </c>
      <c r="M497" t="str">
        <f>IF(A497="","",IF(Q497="", "", ROUND(20 * EXP(LN(50/20) * ((HOUR(Q497)*60 + MINUTE(Q497) - 30) / 30)), 2) * R497 * (1 - S497)))</f>
        <v/>
      </c>
      <c r="P497" t="str" cm="1">
        <f t="array" aca="1" ref="P497" ca="1">IF(AND(A497&lt;&gt;"", C497&lt;&gt;""),
   SUMPRODUCT(--(TEXT(DATE(YEAR(TODAY()), MONTH(TODAY()), ROW(INDIRECT("1:" &amp; DAY(EOMONTH(TODAY(), 0))))), "dddd")=C497)),
   "")</f>
        <v/>
      </c>
      <c r="Q497" s="12"/>
      <c r="R497" s="11" t="str">
        <f t="shared" si="31"/>
        <v/>
      </c>
      <c r="U497" s="13"/>
    </row>
    <row r="498" spans="2:21" ht="18" x14ac:dyDescent="0.35">
      <c r="B498" t="str">
        <f>IF(A498="", "", IF(Q498="", "", IF(Q498=TIME(0,30,0), "Half Hour", IF(Q498=TIME(1,0,0), "Hour", TEXT(Q498*1440, "0") &amp; " Minutes"))))</f>
        <v/>
      </c>
      <c r="D498" s="9" t="str">
        <f t="shared" si="32"/>
        <v/>
      </c>
      <c r="E498" t="str">
        <f t="shared" si="33"/>
        <v/>
      </c>
      <c r="F498" s="9" t="str">
        <f t="shared" si="34"/>
        <v/>
      </c>
      <c r="G498" s="10"/>
      <c r="H498" s="10" t="str">
        <f>IF(A498="","",G498+Q498)</f>
        <v/>
      </c>
      <c r="M498" t="str">
        <f>IF(A498="","",IF(Q498="", "", ROUND(20 * EXP(LN(50/20) * ((HOUR(Q498)*60 + MINUTE(Q498) - 30) / 30)), 2) * R498 * (1 - S498)))</f>
        <v/>
      </c>
      <c r="P498" t="str" cm="1">
        <f t="array" aca="1" ref="P498" ca="1">IF(AND(A498&lt;&gt;"", C498&lt;&gt;""),
   SUMPRODUCT(--(TEXT(DATE(YEAR(TODAY()), MONTH(TODAY()), ROW(INDIRECT("1:" &amp; DAY(EOMONTH(TODAY(), 0))))), "dddd")=C498)),
   "")</f>
        <v/>
      </c>
      <c r="Q498" s="12"/>
      <c r="R498" s="11" t="str">
        <f t="shared" si="31"/>
        <v/>
      </c>
      <c r="U498" s="13"/>
    </row>
    <row r="499" spans="2:21" ht="18" x14ac:dyDescent="0.35">
      <c r="B499" t="str">
        <f>IF(A499="", "", IF(Q499="", "", IF(Q499=TIME(0,30,0), "Half Hour", IF(Q499=TIME(1,0,0), "Hour", TEXT(Q499*1440, "0") &amp; " Minutes"))))</f>
        <v/>
      </c>
      <c r="D499" s="9" t="str">
        <f t="shared" si="32"/>
        <v/>
      </c>
      <c r="E499" t="str">
        <f t="shared" si="33"/>
        <v/>
      </c>
      <c r="F499" s="9" t="str">
        <f t="shared" si="34"/>
        <v/>
      </c>
      <c r="G499" s="10"/>
      <c r="H499" s="10" t="str">
        <f>IF(A499="","",G499+Q499)</f>
        <v/>
      </c>
      <c r="M499" t="str">
        <f>IF(A499="","",IF(Q499="", "", ROUND(20 * EXP(LN(50/20) * ((HOUR(Q499)*60 + MINUTE(Q499) - 30) / 30)), 2) * R499 * (1 - S499)))</f>
        <v/>
      </c>
      <c r="P499" t="str" cm="1">
        <f t="array" aca="1" ref="P499" ca="1">IF(AND(A499&lt;&gt;"", C499&lt;&gt;""),
   SUMPRODUCT(--(TEXT(DATE(YEAR(TODAY()), MONTH(TODAY()), ROW(INDIRECT("1:" &amp; DAY(EOMONTH(TODAY(), 0))))), "dddd")=C499)),
   "")</f>
        <v/>
      </c>
      <c r="Q499" s="12"/>
      <c r="R499" s="11" t="str">
        <f t="shared" si="31"/>
        <v/>
      </c>
      <c r="U499" s="13"/>
    </row>
    <row r="500" spans="2:21" ht="18" x14ac:dyDescent="0.35">
      <c r="B500" t="str">
        <f>IF(A500="", "", IF(Q500="", "", IF(Q500=TIME(0,30,0), "Half Hour", IF(Q500=TIME(1,0,0), "Hour", TEXT(Q500*1440, "0") &amp; " Minutes"))))</f>
        <v/>
      </c>
      <c r="D500" s="9" t="str">
        <f t="shared" si="32"/>
        <v/>
      </c>
      <c r="E500" t="str">
        <f t="shared" si="33"/>
        <v/>
      </c>
      <c r="F500" s="9" t="str">
        <f t="shared" si="34"/>
        <v/>
      </c>
      <c r="G500" s="10"/>
      <c r="H500" s="10" t="str">
        <f>IF(A500="","",G500+Q500)</f>
        <v/>
      </c>
      <c r="M500" t="str">
        <f>IF(A500="","",IF(Q500="", "", ROUND(20 * EXP(LN(50/20) * ((HOUR(Q500)*60 + MINUTE(Q500) - 30) / 30)), 2) * R500 * (1 - S500)))</f>
        <v/>
      </c>
      <c r="P500" t="str" cm="1">
        <f t="array" aca="1" ref="P500" ca="1">IF(AND(A500&lt;&gt;"", C500&lt;&gt;""),
   SUMPRODUCT(--(TEXT(DATE(YEAR(TODAY()), MONTH(TODAY()), ROW(INDIRECT("1:" &amp; DAY(EOMONTH(TODAY(), 0))))), "dddd")=C500)),
   "")</f>
        <v/>
      </c>
      <c r="Q500" s="12"/>
      <c r="R500" s="11" t="str">
        <f t="shared" si="31"/>
        <v/>
      </c>
      <c r="U500" s="13"/>
    </row>
    <row r="501" spans="2:21" ht="18" x14ac:dyDescent="0.35">
      <c r="D501" s="9" t="str">
        <f t="shared" si="32"/>
        <v/>
      </c>
      <c r="E501" t="str">
        <f t="shared" si="33"/>
        <v/>
      </c>
      <c r="F501" s="9" t="str">
        <f t="shared" si="34"/>
        <v/>
      </c>
      <c r="M501" t="str">
        <f>IF(A501="","",IF(Q501="", "", ROUND(20 * EXP(LN(50/20) * ((HOUR(Q501)*60 + MINUTE(Q501) - 30) / 30)), 2) * R501 * (1 - S501)))</f>
        <v/>
      </c>
      <c r="P501" t="str" cm="1">
        <f t="array" aca="1" ref="P501" ca="1">IF(AND(A501&lt;&gt;"", C501&lt;&gt;""),
   SUMPRODUCT(--(TEXT(DATE(YEAR(TODAY()), MONTH(TODAY()), ROW(INDIRECT("1:" &amp; DAY(EOMONTH(TODAY(), 0))))), "dddd")=C501)),
   "")</f>
        <v/>
      </c>
    </row>
  </sheetData>
  <sortState xmlns:xlrd2="http://schemas.microsoft.com/office/spreadsheetml/2017/richdata2" ref="A2:Z15">
    <sortCondition ref="Z1"/>
    <sortCondition ref="G1"/>
  </sortState>
  <phoneticPr fontId="9" type="noConversion"/>
  <conditionalFormatting sqref="D2:D501 F2:F501">
    <cfRule type="expression" dxfId="1" priority="5">
      <formula>ISNUMBER(D2)</formula>
    </cfRule>
  </conditionalFormatting>
  <conditionalFormatting sqref="E2:E501">
    <cfRule type="expression" dxfId="0" priority="4">
      <formula>ISNUMBER(E2)</formula>
    </cfRule>
  </conditionalFormatting>
  <conditionalFormatting sqref="G2:H500">
    <cfRule type="colorScale" priority="1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FBEF3-82D9-4872-B82C-754645570DB7}">
  <sheetPr codeName="Sheet2"/>
  <dimension ref="A1:G4"/>
  <sheetViews>
    <sheetView workbookViewId="0">
      <selection activeCell="D4" sqref="D4"/>
    </sheetView>
  </sheetViews>
  <sheetFormatPr defaultRowHeight="14.4" x14ac:dyDescent="0.3"/>
  <cols>
    <col min="1" max="1" width="12.77734375" customWidth="1"/>
    <col min="2" max="2" width="13" customWidth="1"/>
    <col min="3" max="3" width="14.21875" customWidth="1"/>
    <col min="4" max="4" width="11.21875" customWidth="1"/>
    <col min="5" max="5" width="13.77734375" customWidth="1"/>
    <col min="6" max="6" width="10.88671875" customWidth="1"/>
    <col min="7" max="7" width="10.6640625" customWidth="1"/>
  </cols>
  <sheetData>
    <row r="1" spans="1:7" x14ac:dyDescent="0.3">
      <c r="A1" s="16" t="s">
        <v>38</v>
      </c>
      <c r="B1" s="16"/>
      <c r="C1" s="16"/>
      <c r="D1" s="16"/>
      <c r="E1" s="16"/>
      <c r="F1" s="16"/>
    </row>
    <row r="2" spans="1:7" x14ac:dyDescent="0.3">
      <c r="A2" s="16"/>
      <c r="B2" s="16"/>
      <c r="C2" s="16"/>
      <c r="D2" s="16"/>
      <c r="E2" s="16"/>
      <c r="F2" s="16"/>
    </row>
    <row r="3" spans="1:7" x14ac:dyDescent="0.3">
      <c r="A3" t="s">
        <v>39</v>
      </c>
      <c r="B3" t="s">
        <v>40</v>
      </c>
      <c r="C3" t="s">
        <v>3</v>
      </c>
      <c r="D3" t="s">
        <v>4</v>
      </c>
      <c r="E3" t="s">
        <v>10</v>
      </c>
      <c r="F3" t="s">
        <v>41</v>
      </c>
      <c r="G3" t="s">
        <v>15</v>
      </c>
    </row>
    <row r="4" spans="1:7" x14ac:dyDescent="0.3">
      <c r="A4" t="s">
        <v>29</v>
      </c>
      <c r="B4" t="s">
        <v>18</v>
      </c>
      <c r="C4" s="10">
        <v>0.52083333333333337</v>
      </c>
      <c r="D4" s="10">
        <v>0.5625</v>
      </c>
      <c r="E4" t="s">
        <v>21</v>
      </c>
      <c r="F4" s="12">
        <v>4.1666666666666664E-2</v>
      </c>
      <c r="G4" s="14">
        <v>0.3</v>
      </c>
    </row>
  </sheetData>
  <mergeCells count="1">
    <mergeCell ref="A1:F2"/>
  </mergeCells>
  <conditionalFormatting sqref="C4:D4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Lesson Schedule</vt:lpstr>
      <vt:lpstr>Inactive Students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 Gena</dc:creator>
  <cp:lastModifiedBy>Dom Gena</cp:lastModifiedBy>
  <dcterms:created xsi:type="dcterms:W3CDTF">2024-11-28T16:54:47Z</dcterms:created>
  <dcterms:modified xsi:type="dcterms:W3CDTF">2024-12-07T17:43:26Z</dcterms:modified>
</cp:coreProperties>
</file>